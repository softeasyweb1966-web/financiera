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vitado/Desktop/"/>
    </mc:Choice>
  </mc:AlternateContent>
  <xr:revisionPtr revIDLastSave="0" documentId="13_ncr:1_{9C427DA3-2021-584F-BB51-70A979F2864A}" xr6:coauthVersionLast="47" xr6:coauthVersionMax="47" xr10:uidLastSave="{00000000-0000-0000-0000-000000000000}"/>
  <bookViews>
    <workbookView xWindow="0" yWindow="0" windowWidth="38400" windowHeight="21600" xr2:uid="{9918A2E4-CE2E-B64B-A01B-037FBE534CF5}"/>
  </bookViews>
  <sheets>
    <sheet name="SERVICIOS" sheetId="1" r:id="rId1"/>
    <sheet name="BANCOS" sheetId="3" r:id="rId2"/>
    <sheet name="NOMINA" sheetId="2" r:id="rId3"/>
    <sheet name="Hoja3" sheetId="6" r:id="rId4"/>
    <sheet name="Hoja1" sheetId="4" r:id="rId5"/>
    <sheet name="Hoja2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3" l="1"/>
  <c r="H10" i="3"/>
  <c r="I22" i="1"/>
  <c r="H22" i="1"/>
  <c r="G22" i="1"/>
  <c r="B10" i="3" l="1"/>
  <c r="E2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david cuenca cuellar</author>
  </authors>
  <commentList>
    <comment ref="H3" authorId="0" shapeId="0" xr:uid="{FA3FD059-A4B5-AC40-937D-B28321542FC3}">
      <text>
        <r>
          <rPr>
            <b/>
            <sz val="10"/>
            <color rgb="FF000000"/>
            <rFont val="Tahoma"/>
            <family val="2"/>
          </rPr>
          <t xml:space="preserve">3 de marzo 2026 
</t>
        </r>
        <r>
          <rPr>
            <b/>
            <sz val="10"/>
            <color rgb="FF000000"/>
            <rFont val="Tahoma"/>
            <family val="2"/>
          </rPr>
          <t xml:space="preserve">pse bancolombia 
</t>
        </r>
        <r>
          <rPr>
            <b/>
            <sz val="10"/>
            <color rgb="FF000000"/>
            <rFont val="Tahoma"/>
            <family val="2"/>
          </rPr>
          <t>369.000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I3" authorId="0" shapeId="0" xr:uid="{EDBE9A6C-1A88-BE40-954B-D4E86A5D4EFA}">
      <text>
        <r>
          <rPr>
            <b/>
            <sz val="10"/>
            <color rgb="FF000000"/>
            <rFont val="Tahoma"/>
            <family val="2"/>
          </rPr>
          <t xml:space="preserve">16 abril 2026 
</t>
        </r>
        <r>
          <rPr>
            <b/>
            <sz val="10"/>
            <color rgb="FF000000"/>
            <rFont val="Tahoma"/>
            <family val="2"/>
          </rPr>
          <t xml:space="preserve">360.000
</t>
        </r>
        <r>
          <rPr>
            <b/>
            <sz val="10"/>
            <color rgb="FF000000"/>
            <rFont val="Tahoma"/>
            <family val="2"/>
          </rPr>
          <t xml:space="preserve">bancolombia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3" authorId="0" shapeId="0" xr:uid="{3FCB4AB9-0FC7-B24B-B0CE-865FFCE7181E}">
      <text>
        <r>
          <rPr>
            <b/>
            <sz val="10"/>
            <color rgb="FF000000"/>
            <rFont val="Tahoma"/>
            <family val="2"/>
          </rPr>
          <t xml:space="preserve">4 MAYO 2026 
</t>
        </r>
        <r>
          <rPr>
            <b/>
            <sz val="10"/>
            <color rgb="FF000000"/>
            <rFont val="Tahoma"/>
            <family val="2"/>
          </rPr>
          <t xml:space="preserve">336.000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K3" authorId="0" shapeId="0" xr:uid="{49C52352-44B0-3F49-BEAB-4A5865F87903}">
      <text>
        <r>
          <rPr>
            <sz val="10"/>
            <color rgb="FF000000"/>
            <rFont val="Tahoma"/>
            <family val="2"/>
          </rPr>
          <t xml:space="preserve">1 JUNIO 2026 
</t>
        </r>
        <r>
          <rPr>
            <sz val="10"/>
            <color rgb="FF000000"/>
            <rFont val="Tahoma"/>
            <family val="2"/>
          </rPr>
          <t xml:space="preserve">324.000 
</t>
        </r>
        <r>
          <rPr>
            <sz val="10"/>
            <color rgb="FF000000"/>
            <rFont val="Tahoma"/>
            <family val="2"/>
          </rPr>
          <t xml:space="preserve">PSE BANCOLOMBIA </t>
        </r>
      </text>
    </comment>
    <comment ref="L3" authorId="0" shapeId="0" xr:uid="{AFC9BECA-F400-044C-AE4A-4AA4D50D8D7F}">
      <text>
        <r>
          <rPr>
            <b/>
            <sz val="10"/>
            <color rgb="FF000000"/>
            <rFont val="Tahoma"/>
            <family val="2"/>
          </rPr>
          <t xml:space="preserve">1 JULIO 2026 
</t>
        </r>
        <r>
          <rPr>
            <b/>
            <sz val="10"/>
            <color rgb="FF000000"/>
            <rFont val="Tahoma"/>
            <family val="2"/>
          </rPr>
          <t>298.500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H4" authorId="0" shapeId="0" xr:uid="{A8B03991-C7E0-0648-9309-AAF2FE960B9E}">
      <text>
        <r>
          <rPr>
            <b/>
            <sz val="10"/>
            <color rgb="FF000000"/>
            <rFont val="Tahoma"/>
            <family val="2"/>
          </rPr>
          <t xml:space="preserve">3 feb 2026 
</t>
        </r>
        <r>
          <rPr>
            <b/>
            <sz val="10"/>
            <color rgb="FF000000"/>
            <rFont val="Tahoma"/>
            <family val="2"/>
          </rPr>
          <t xml:space="preserve">pago por tigo 
</t>
        </r>
        <r>
          <rPr>
            <b/>
            <sz val="10"/>
            <color rgb="FF000000"/>
            <rFont val="Tahoma"/>
            <family val="2"/>
          </rPr>
          <t>283.258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I4" authorId="0" shapeId="0" xr:uid="{3D84A5C7-CACE-134A-A2CB-364E4812A4BF}">
      <text>
        <r>
          <rPr>
            <b/>
            <sz val="10"/>
            <color rgb="FF000000"/>
            <rFont val="Tahoma"/>
            <family val="2"/>
          </rPr>
          <t xml:space="preserve">06 ABRIL 2026 
</t>
        </r>
        <r>
          <rPr>
            <b/>
            <sz val="10"/>
            <color rgb="FF000000"/>
            <rFont val="Tahoma"/>
            <family val="2"/>
          </rPr>
          <t xml:space="preserve">255.000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K4" authorId="0" shapeId="0" xr:uid="{EDF30735-96AD-FB4F-A025-9734E991D757}">
      <text>
        <r>
          <rPr>
            <sz val="10"/>
            <color rgb="FF000000"/>
            <rFont val="Tahoma"/>
            <family val="2"/>
          </rPr>
          <t xml:space="preserve">1 JUNIO 2026 
</t>
        </r>
        <r>
          <rPr>
            <sz val="10"/>
            <color rgb="FF000000"/>
            <rFont val="Tahoma"/>
            <family val="2"/>
          </rPr>
          <t>255,584</t>
        </r>
      </text>
    </comment>
    <comment ref="F5" authorId="0" shapeId="0" xr:uid="{4FAFEF96-E8F1-EB45-9AEF-CDF64882815F}">
      <text>
        <r>
          <rPr>
            <b/>
            <sz val="10"/>
            <color rgb="FF000000"/>
            <rFont val="Tahoma"/>
            <family val="2"/>
          </rPr>
          <t xml:space="preserve">9 ENERO 2026
</t>
        </r>
        <r>
          <rPr>
            <b/>
            <sz val="10"/>
            <color rgb="FF000000"/>
            <rFont val="Tahoma"/>
            <family val="2"/>
          </rPr>
          <t>TRANSFERENCIA A BANCOLOMBIA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I5" authorId="0" shapeId="0" xr:uid="{993D6560-5A1A-5347-944C-24ED6B526951}">
      <text>
        <r>
          <rPr>
            <b/>
            <sz val="10"/>
            <color rgb="FF000000"/>
            <rFont val="Tahoma"/>
            <family val="2"/>
          </rPr>
          <t xml:space="preserve">06 ABRIL DESDE BANCOLOMBI9A 
</t>
        </r>
        <r>
          <rPr>
            <b/>
            <sz val="10"/>
            <color rgb="FF000000"/>
            <rFont val="Tahoma"/>
            <family val="2"/>
          </rPr>
          <t>77.500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5" authorId="0" shapeId="0" xr:uid="{0C486CCB-606B-AF4F-A922-FA01E5C9913F}">
      <text>
        <r>
          <rPr>
            <b/>
            <sz val="10"/>
            <color rgb="FF000000"/>
            <rFont val="Tahoma"/>
            <family val="2"/>
          </rPr>
          <t xml:space="preserve">12 MAYO 2026 
</t>
        </r>
        <r>
          <rPr>
            <b/>
            <sz val="10"/>
            <color rgb="FF000000"/>
            <rFont val="Tahoma"/>
            <family val="2"/>
          </rPr>
          <t xml:space="preserve">86.700
</t>
        </r>
        <r>
          <rPr>
            <b/>
            <sz val="10"/>
            <color rgb="FF000000"/>
            <rFont val="Tahoma"/>
            <family val="2"/>
          </rPr>
          <t xml:space="preserve">TRANSFERENCIA DESDE NEQUI A LLABE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K5" authorId="0" shapeId="0" xr:uid="{668C9576-2022-0647-88C6-87256DA16D66}">
      <text>
        <r>
          <rPr>
            <b/>
            <sz val="10"/>
            <color rgb="FF000000"/>
            <rFont val="Tahoma"/>
            <family val="2"/>
          </rPr>
          <t xml:space="preserve">EXCESO DE PESO 
</t>
        </r>
        <r>
          <rPr>
            <b/>
            <sz val="10"/>
            <color rgb="FF000000"/>
            <rFont val="Tahoma"/>
            <family val="2"/>
          </rPr>
          <t xml:space="preserve">5 JUNIO 2026 
</t>
        </r>
        <r>
          <rPr>
            <b/>
            <sz val="10"/>
            <color rgb="FF000000"/>
            <rFont val="Tahoma"/>
            <family val="2"/>
          </rPr>
          <t>116.600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L5" authorId="0" shapeId="0" xr:uid="{A4038320-65D1-D743-89BC-163A84C51F42}">
      <text>
        <r>
          <rPr>
            <b/>
            <sz val="10"/>
            <color rgb="FF000000"/>
            <rFont val="Tahoma"/>
            <family val="2"/>
          </rPr>
          <t xml:space="preserve">3 julio 2026 
</t>
        </r>
        <r>
          <rPr>
            <b/>
            <sz val="10"/>
            <color rgb="FF000000"/>
            <rFont val="Tahoma"/>
            <family val="2"/>
          </rPr>
          <t>66.000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F6" authorId="0" shapeId="0" xr:uid="{D3AC30FF-8580-0B43-B43A-AD2B67BCB555}">
      <text>
        <r>
          <rPr>
            <sz val="10"/>
            <color rgb="FF000000"/>
            <rFont val="Tahoma"/>
            <family val="2"/>
          </rPr>
          <t xml:space="preserve">03 FEBRERO 2026 
</t>
        </r>
        <r>
          <rPr>
            <sz val="10"/>
            <color rgb="FF000000"/>
            <rFont val="Tahoma"/>
            <family val="2"/>
          </rPr>
          <t xml:space="preserve">6.581.000
</t>
        </r>
        <r>
          <rPr>
            <sz val="10"/>
            <color rgb="FF000000"/>
            <rFont val="Tahoma"/>
            <family val="2"/>
          </rPr>
          <t xml:space="preserve">TRANSFERENCIA DESDE BBVA </t>
        </r>
      </text>
    </comment>
    <comment ref="G6" authorId="0" shapeId="0" xr:uid="{6BE5E30C-ACA6-D543-8383-90EBDDE01D88}">
      <text>
        <r>
          <rPr>
            <b/>
            <sz val="10"/>
            <color rgb="FF000000"/>
            <rFont val="Tahoma"/>
            <family val="2"/>
          </rPr>
          <t xml:space="preserve">3 FEBRERO 2026 
</t>
        </r>
        <r>
          <rPr>
            <b/>
            <sz val="10"/>
            <color rgb="FF000000"/>
            <rFont val="Tahoma"/>
            <family val="2"/>
          </rPr>
          <t xml:space="preserve">6.581.000
</t>
        </r>
        <r>
          <rPr>
            <b/>
            <sz val="10"/>
            <color rgb="FF000000"/>
            <rFont val="Tahoma"/>
            <family val="2"/>
          </rPr>
          <t xml:space="preserve">TRANSFERENCIA BBVA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H6" authorId="0" shapeId="0" xr:uid="{6CAA09B1-A77F-0243-99EE-DB016B536DEF}">
      <text>
        <r>
          <rPr>
            <b/>
            <sz val="10"/>
            <color rgb="FF000000"/>
            <rFont val="Tahoma"/>
            <family val="2"/>
          </rPr>
          <t xml:space="preserve">06 ABRIL 2026 
</t>
        </r>
        <r>
          <rPr>
            <b/>
            <sz val="10"/>
            <color rgb="FF000000"/>
            <rFont val="Tahoma"/>
            <family val="2"/>
          </rPr>
          <t xml:space="preserve">PAGO MES DE MARZO 
</t>
        </r>
        <r>
          <rPr>
            <b/>
            <sz val="10"/>
            <color rgb="FF000000"/>
            <rFont val="Tahoma"/>
            <family val="2"/>
          </rPr>
          <t>6.581.000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I6" authorId="0" shapeId="0" xr:uid="{A1E520B5-2C15-3141-989E-A4BCC9EE9B22}">
      <text>
        <r>
          <rPr>
            <b/>
            <sz val="10"/>
            <color rgb="FF000000"/>
            <rFont val="Tahoma"/>
            <family val="2"/>
          </rPr>
          <t xml:space="preserve">4 mayo 2026 
</t>
        </r>
        <r>
          <rPr>
            <b/>
            <sz val="10"/>
            <color rgb="FF000000"/>
            <rFont val="Tahoma"/>
            <family val="2"/>
          </rPr>
          <t xml:space="preserve">6.581.000 
</t>
        </r>
        <r>
          <rPr>
            <b/>
            <sz val="10"/>
            <color rgb="FF000000"/>
            <rFont val="Tahoma"/>
            <family val="2"/>
          </rPr>
          <t xml:space="preserve">enviados desde bbva a davivienda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6" authorId="0" shapeId="0" xr:uid="{4974DB5D-6910-0C45-AFBB-AA55A8C07981}">
      <text>
        <r>
          <rPr>
            <b/>
            <sz val="10"/>
            <color rgb="FF000000"/>
            <rFont val="Tahoma"/>
            <family val="2"/>
          </rPr>
          <t xml:space="preserve">1 JUNIO 2026 
</t>
        </r>
        <r>
          <rPr>
            <b/>
            <sz val="10"/>
            <color rgb="FF000000"/>
            <rFont val="Tahoma"/>
            <family val="2"/>
          </rPr>
          <t xml:space="preserve">6,581.000 
</t>
        </r>
        <r>
          <rPr>
            <b/>
            <sz val="10"/>
            <color rgb="FF000000"/>
            <rFont val="Tahoma"/>
            <family val="2"/>
          </rPr>
          <t xml:space="preserve">TRANSFERENCIA DESDE BBVA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K6" authorId="0" shapeId="0" xr:uid="{889313A2-EA12-B044-8154-D949509843BF}">
      <text>
        <r>
          <rPr>
            <b/>
            <sz val="10"/>
            <color rgb="FF000000"/>
            <rFont val="Tahoma"/>
            <family val="2"/>
          </rPr>
          <t xml:space="preserve">9 JULIO 2026 
</t>
        </r>
        <r>
          <rPr>
            <b/>
            <sz val="10"/>
            <color rgb="FF000000"/>
            <rFont val="Tahoma"/>
            <family val="2"/>
          </rPr>
          <t xml:space="preserve">6.581.000 
</t>
        </r>
        <r>
          <rPr>
            <b/>
            <sz val="10"/>
            <color rgb="FF000000"/>
            <rFont val="Tahoma"/>
            <family val="2"/>
          </rPr>
          <t>TRANSFERENCIA DESDE BBVA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G7" authorId="0" shapeId="0" xr:uid="{1AF99044-6279-7047-9CE9-7530C9BD3FDF}">
      <text>
        <r>
          <rPr>
            <b/>
            <sz val="10"/>
            <color rgb="FF000000"/>
            <rFont val="Tahoma"/>
            <family val="2"/>
          </rPr>
          <t>FEBRERO 23 $569370 NEQUI JUAN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I7" authorId="0" shapeId="0" xr:uid="{85D31B09-9657-0745-9BB6-B6B7F22B1ECC}">
      <text>
        <r>
          <rPr>
            <sz val="10"/>
            <color rgb="FF000000"/>
            <rFont val="Tahoma"/>
            <family val="2"/>
          </rPr>
          <t>06 DE ABRIL DESDE DAVIPLATA</t>
        </r>
      </text>
    </comment>
    <comment ref="K7" authorId="0" shapeId="0" xr:uid="{86CE60A6-8AF3-5849-B7E7-DB9624BC6118}">
      <text>
        <r>
          <rPr>
            <b/>
            <sz val="10"/>
            <color rgb="FF000000"/>
            <rFont val="Tahoma"/>
            <family val="2"/>
          </rPr>
          <t xml:space="preserve">13 JUNIO 2026 
</t>
        </r>
        <r>
          <rPr>
            <b/>
            <sz val="10"/>
            <color rgb="FF000000"/>
            <rFont val="Tahoma"/>
            <family val="2"/>
          </rPr>
          <t>182.740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G8" authorId="0" shapeId="0" xr:uid="{616476DF-92FB-DB40-80FF-8105BBEA6E9D}">
      <text>
        <r>
          <rPr>
            <b/>
            <sz val="10"/>
            <color rgb="FF000000"/>
            <rFont val="Tahoma"/>
            <family val="2"/>
          </rPr>
          <t>FEBRERO 23 $279830 NEQUI JUAN</t>
        </r>
      </text>
    </comment>
    <comment ref="I8" authorId="0" shapeId="0" xr:uid="{5F2371B7-97CE-F542-9277-1BA4BF20FAA7}">
      <text>
        <r>
          <rPr>
            <b/>
            <sz val="10"/>
            <color rgb="FF000000"/>
            <rFont val="Tahoma"/>
            <family val="2"/>
          </rPr>
          <t xml:space="preserve">06 ABRIL 2026 
</t>
        </r>
        <r>
          <rPr>
            <b/>
            <sz val="10"/>
            <color rgb="FF000000"/>
            <rFont val="Tahoma"/>
            <family val="2"/>
          </rPr>
          <t xml:space="preserve">150.900 
</t>
        </r>
        <r>
          <rPr>
            <b/>
            <sz val="10"/>
            <color rgb="FF000000"/>
            <rFont val="Tahoma"/>
            <family val="2"/>
          </rPr>
          <t xml:space="preserve">DESDE DAVIPLATA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K8" authorId="0" shapeId="0" xr:uid="{DF2226A6-F880-9947-9E7B-465ADE20FEF9}">
      <text>
        <r>
          <rPr>
            <b/>
            <sz val="10"/>
            <color rgb="FF000000"/>
            <rFont val="Tahoma"/>
            <family val="2"/>
          </rPr>
          <t xml:space="preserve">13 JUNIO 2026 
</t>
        </r>
        <r>
          <rPr>
            <b/>
            <sz val="10"/>
            <color rgb="FF000000"/>
            <rFont val="Tahoma"/>
            <family val="2"/>
          </rPr>
          <t>182.740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G10" authorId="0" shapeId="0" xr:uid="{F983FF8E-6FAD-A443-99A8-9BAA2B39809D}">
      <text>
        <r>
          <rPr>
            <b/>
            <sz val="10"/>
            <color rgb="FF000000"/>
            <rFont val="Tahoma"/>
            <family val="2"/>
          </rPr>
          <t>febrero 23 $79013 NEQUI JUAN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K10" authorId="0" shapeId="0" xr:uid="{2BDDB8EF-1E15-7645-9052-AF077D5DEBDE}">
      <text>
        <r>
          <rPr>
            <b/>
            <sz val="10"/>
            <color rgb="FF000000"/>
            <rFont val="Tahoma"/>
            <family val="2"/>
          </rPr>
          <t xml:space="preserve">25 junio 2026 
</t>
        </r>
        <r>
          <rPr>
            <b/>
            <sz val="10"/>
            <color rgb="FF000000"/>
            <rFont val="Tahoma"/>
            <family val="2"/>
          </rPr>
          <t>78.894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G11" authorId="0" shapeId="0" xr:uid="{ED56BADD-96E3-1D4C-9F3A-8602EA3F67B5}">
      <text>
        <r>
          <rPr>
            <b/>
            <sz val="10"/>
            <color rgb="FF000000"/>
            <rFont val="Tahoma"/>
            <family val="2"/>
          </rPr>
          <t>FEBRERO 23 $187650 NEQUI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11" authorId="0" shapeId="0" xr:uid="{9842F2D7-EBAC-4342-889C-95D8D515C03D}">
      <text>
        <r>
          <rPr>
            <b/>
            <sz val="10"/>
            <color rgb="FF000000"/>
            <rFont val="Tahoma"/>
            <family val="2"/>
          </rPr>
          <t>Pago en efectivo mayo 26 $291.090</t>
        </r>
      </text>
    </comment>
    <comment ref="K11" authorId="0" shapeId="0" xr:uid="{96885C1D-8B2A-2B42-AD6B-2E0D5D280183}">
      <text>
        <r>
          <rPr>
            <b/>
            <sz val="10"/>
            <color rgb="FF000000"/>
            <rFont val="Tahoma"/>
            <family val="2"/>
          </rPr>
          <t xml:space="preserve">24 junio 2026 
</t>
        </r>
        <r>
          <rPr>
            <b/>
            <sz val="10"/>
            <color rgb="FF000000"/>
            <rFont val="Tahoma"/>
            <family val="2"/>
          </rPr>
          <t>290.650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G12" authorId="0" shapeId="0" xr:uid="{C582C024-5CDC-4641-97D1-147D68896A63}">
      <text>
        <r>
          <rPr>
            <b/>
            <sz val="10"/>
            <color rgb="FF000000"/>
            <rFont val="Tahoma"/>
            <family val="2"/>
          </rPr>
          <t xml:space="preserve">FEBRERO 23 $426390 NEQUI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12" authorId="0" shapeId="0" xr:uid="{C96B1B3B-A631-9E4E-9706-1B71CD296F41}">
      <text>
        <r>
          <rPr>
            <b/>
            <sz val="10"/>
            <color rgb="FF000000"/>
            <rFont val="Tahoma"/>
            <family val="2"/>
          </rPr>
          <t xml:space="preserve">Se paga en mayo 26 en efectivo $456.390
</t>
        </r>
      </text>
    </comment>
    <comment ref="K12" authorId="0" shapeId="0" xr:uid="{7273486F-AB35-A84C-961C-63A9BAF6592C}">
      <text>
        <r>
          <rPr>
            <b/>
            <sz val="10"/>
            <color rgb="FF000000"/>
            <rFont val="Tahoma"/>
            <family val="2"/>
          </rPr>
          <t xml:space="preserve">24 junio 2026 
</t>
        </r>
        <r>
          <rPr>
            <b/>
            <sz val="10"/>
            <color rgb="FF000000"/>
            <rFont val="Tahoma"/>
            <family val="2"/>
          </rPr>
          <t>452.420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F13" authorId="0" shapeId="0" xr:uid="{17E6CB1B-A37E-EC4F-8AEC-34F6E0B7ABFA}">
      <text>
        <r>
          <rPr>
            <b/>
            <sz val="10"/>
            <color rgb="FF000000"/>
            <rFont val="Tahoma"/>
            <family val="2"/>
          </rPr>
          <t xml:space="preserve">28 ENERO 2026
</t>
        </r>
        <r>
          <rPr>
            <b/>
            <sz val="10"/>
            <color rgb="FF000000"/>
            <rFont val="Tahoma"/>
            <family val="2"/>
          </rPr>
          <t xml:space="preserve">241,740
</t>
        </r>
        <r>
          <rPr>
            <b/>
            <sz val="10"/>
            <color rgb="FF000000"/>
            <rFont val="Tahoma"/>
            <family val="2"/>
          </rPr>
          <t xml:space="preserve">SE CANCELAN DOS MESES DEBE ESTAR INCLUIDO FEBRERO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G13" authorId="0" shapeId="0" xr:uid="{ADE3D059-8F9A-714C-BDFE-D069687878E9}">
      <text>
        <r>
          <rPr>
            <b/>
            <sz val="10"/>
            <color rgb="FF000000"/>
            <rFont val="Tahoma"/>
            <family val="2"/>
          </rPr>
          <t>febrero 23 $149840 NEQUI JUAN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H13" authorId="0" shapeId="0" xr:uid="{5F5ABC64-D4D7-AD46-A3DA-B4284655A366}">
      <text>
        <r>
          <rPr>
            <b/>
            <sz val="10"/>
            <color rgb="FF000000"/>
            <rFont val="Tahoma"/>
            <family val="2"/>
          </rPr>
          <t xml:space="preserve">16 marzo 2026 
</t>
        </r>
        <r>
          <rPr>
            <b/>
            <sz val="10"/>
            <color rgb="FF000000"/>
            <rFont val="Tahoma"/>
            <family val="2"/>
          </rPr>
          <t xml:space="preserve">133.800
</t>
        </r>
        <r>
          <rPr>
            <b/>
            <sz val="10"/>
            <color rgb="FF000000"/>
            <rFont val="Tahoma"/>
            <family val="2"/>
          </rPr>
          <t>pse nequi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I13" authorId="0" shapeId="0" xr:uid="{AD4B9116-89EE-8746-8A18-BA13D173A2E6}">
      <text>
        <r>
          <rPr>
            <b/>
            <sz val="10"/>
            <color rgb="FF000000"/>
            <rFont val="Tahoma"/>
            <family val="2"/>
          </rPr>
          <t xml:space="preserve">21 abril 2026 
</t>
        </r>
        <r>
          <rPr>
            <b/>
            <sz val="10"/>
            <color rgb="FF000000"/>
            <rFont val="Tahoma"/>
            <family val="2"/>
          </rPr>
          <t xml:space="preserve">133.800
</t>
        </r>
        <r>
          <rPr>
            <b/>
            <sz val="10"/>
            <color rgb="FF000000"/>
            <rFont val="Tahoma"/>
            <family val="2"/>
          </rPr>
          <t>pse bancolombia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13" authorId="0" shapeId="0" xr:uid="{ED3E52B9-AB0B-6642-8474-FB79400A8819}">
      <text>
        <r>
          <rPr>
            <b/>
            <sz val="10"/>
            <color rgb="FF000000"/>
            <rFont val="Tahoma"/>
            <family val="2"/>
          </rPr>
          <t>SE PAGA EN EFECTIVO MAYO 26 $133.800</t>
        </r>
      </text>
    </comment>
    <comment ref="K13" authorId="0" shapeId="0" xr:uid="{FBD9B348-DA09-C84E-B6FA-FA797A4C22B2}">
      <text>
        <r>
          <rPr>
            <b/>
            <sz val="10"/>
            <color rgb="FF000000"/>
            <rFont val="Tahoma"/>
            <family val="2"/>
          </rPr>
          <t xml:space="preserve">24 junio 2026 
</t>
        </r>
        <r>
          <rPr>
            <b/>
            <sz val="10"/>
            <color rgb="FF000000"/>
            <rFont val="Tahoma"/>
            <family val="2"/>
          </rPr>
          <t>135.710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G14" authorId="0" shapeId="0" xr:uid="{91F2160A-46B3-2747-B72E-241EBC5B416D}">
      <text>
        <r>
          <rPr>
            <b/>
            <sz val="10"/>
            <color rgb="FF000000"/>
            <rFont val="Tahoma"/>
            <family val="2"/>
          </rPr>
          <t>FEBRERO 23 $65420 NEQUI JUAN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H14" authorId="0" shapeId="0" xr:uid="{8BA5EDB9-482D-F046-9202-4F812DF06A6D}">
      <text>
        <r>
          <rPr>
            <b/>
            <sz val="10"/>
            <color rgb="FF000000"/>
            <rFont val="Tahoma"/>
            <family val="2"/>
          </rPr>
          <t xml:space="preserve">5 ABRIL 2026 
</t>
        </r>
        <r>
          <rPr>
            <b/>
            <sz val="10"/>
            <color rgb="FF000000"/>
            <rFont val="Tahoma"/>
            <family val="2"/>
          </rPr>
          <t xml:space="preserve">53.000 
</t>
        </r>
        <r>
          <rPr>
            <b/>
            <sz val="10"/>
            <color rgb="FF000000"/>
            <rFont val="Tahoma"/>
            <family val="2"/>
          </rPr>
          <t xml:space="preserve">PSE BANCOLOMBIA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14" authorId="0" shapeId="0" xr:uid="{5C1C65B9-BE24-074F-9727-E8C5E4EE0650}">
      <text>
        <r>
          <rPr>
            <b/>
            <sz val="10"/>
            <color rgb="FF000000"/>
            <rFont val="Tahoma"/>
            <family val="2"/>
          </rPr>
          <t>Se paga en efectivo mayo 26 de 2025 $43.100</t>
        </r>
      </text>
    </comment>
    <comment ref="K14" authorId="0" shapeId="0" xr:uid="{CD02B5D7-4176-0F45-B8D8-AB7AE31BD4D3}">
      <text>
        <r>
          <rPr>
            <b/>
            <sz val="10"/>
            <color rgb="FF000000"/>
            <rFont val="Tahoma"/>
            <family val="2"/>
          </rPr>
          <t xml:space="preserve">24 junio 2026 
</t>
        </r>
        <r>
          <rPr>
            <b/>
            <sz val="10"/>
            <color rgb="FF000000"/>
            <rFont val="Tahoma"/>
            <family val="2"/>
          </rPr>
          <t>39.290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G15" authorId="0" shapeId="0" xr:uid="{E5CDA8D6-9954-D049-8245-353A4AA68F08}">
      <text>
        <r>
          <rPr>
            <b/>
            <sz val="10"/>
            <color rgb="FF000000"/>
            <rFont val="Tahoma"/>
            <family val="2"/>
          </rPr>
          <t>FEBRERO 23 $55912 NEQUI JUAN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H15" authorId="0" shapeId="0" xr:uid="{EC979113-4507-C44B-8D24-B629ED37019E}">
      <text>
        <r>
          <rPr>
            <b/>
            <sz val="10"/>
            <color rgb="FF000000"/>
            <rFont val="Tahoma"/>
            <family val="2"/>
          </rPr>
          <t xml:space="preserve">6 ABRIL 2026 
</t>
        </r>
        <r>
          <rPr>
            <b/>
            <sz val="10"/>
            <color rgb="FF000000"/>
            <rFont val="Tahoma"/>
            <family val="2"/>
          </rPr>
          <t xml:space="preserve">53.900
</t>
        </r>
        <r>
          <rPr>
            <b/>
            <sz val="10"/>
            <color rgb="FF000000"/>
            <rFont val="Tahoma"/>
            <family val="2"/>
          </rPr>
          <t xml:space="preserve">PSE NEQUI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I15" authorId="0" shapeId="0" xr:uid="{A1959494-8936-B548-BA8D-C4EE38A1D89A}">
      <text>
        <r>
          <rPr>
            <b/>
            <sz val="10"/>
            <color rgb="FF000000"/>
            <rFont val="Tahoma"/>
            <family val="2"/>
          </rPr>
          <t xml:space="preserve">20 ABRIL 2026 
</t>
        </r>
        <r>
          <rPr>
            <b/>
            <sz val="10"/>
            <color rgb="FF000000"/>
            <rFont val="Tahoma"/>
            <family val="2"/>
          </rPr>
          <t xml:space="preserve">DESCONTADO DESDE NEQUI 
</t>
        </r>
        <r>
          <rPr>
            <b/>
            <sz val="10"/>
            <color rgb="FF000000"/>
            <rFont val="Tahoma"/>
            <family val="2"/>
          </rPr>
          <t>54221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15" authorId="0" shapeId="0" xr:uid="{5D819F1E-2161-BB43-A168-06B308B8FCFC}">
      <text>
        <r>
          <rPr>
            <b/>
            <sz val="10"/>
            <color rgb="FF000000"/>
            <rFont val="Tahoma"/>
            <family val="2"/>
          </rPr>
          <t xml:space="preserve">Nequi Mayo 23 $ 53.900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K15" authorId="0" shapeId="0" xr:uid="{AAC27545-7C6C-6145-BBA5-51B1FD45B7A7}">
      <text>
        <r>
          <rPr>
            <b/>
            <sz val="10"/>
            <color rgb="FF000000"/>
            <rFont val="Tahoma"/>
            <family val="2"/>
          </rPr>
          <t>juan david cuenca cuellar: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9 junio 2026
</t>
        </r>
        <r>
          <rPr>
            <sz val="10"/>
            <color rgb="FF000000"/>
            <rFont val="Tahoma"/>
            <family val="2"/>
          </rPr>
          <t>53.900</t>
        </r>
      </text>
    </comment>
    <comment ref="L15" authorId="0" shapeId="0" xr:uid="{F248DF4B-D4CE-6B4C-8F2F-FD2CD60305A8}">
      <text>
        <r>
          <rPr>
            <sz val="10"/>
            <color rgb="FF000000"/>
            <rFont val="Tahoma"/>
            <family val="2"/>
          </rPr>
          <t xml:space="preserve">21 julio 2026 
</t>
        </r>
        <r>
          <rPr>
            <sz val="10"/>
            <color rgb="FF000000"/>
            <rFont val="Tahoma"/>
            <family val="2"/>
          </rPr>
          <t>54.216</t>
        </r>
      </text>
    </comment>
    <comment ref="G16" authorId="0" shapeId="0" xr:uid="{23B4ADF1-565F-3A43-B806-977C024DA228}">
      <text>
        <r>
          <rPr>
            <b/>
            <sz val="10"/>
            <color rgb="FF000000"/>
            <rFont val="Tahoma"/>
            <family val="2"/>
          </rPr>
          <t>FEBRERO 23 $46000 NEQUI JUAN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16" authorId="0" shapeId="0" xr:uid="{872C7083-25F3-B84C-86A2-641D3C02EDA3}">
      <text>
        <r>
          <rPr>
            <b/>
            <sz val="10"/>
            <color rgb="FF000000"/>
            <rFont val="Tahoma"/>
            <family val="2"/>
          </rPr>
          <t xml:space="preserve">PAGO Nequi mayo 30 $109.645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L16" authorId="0" shapeId="0" xr:uid="{3899BA50-6212-664B-9B23-25668FE377EB}">
      <text>
        <r>
          <rPr>
            <b/>
            <sz val="10"/>
            <color rgb="FF000000"/>
            <rFont val="Tahoma"/>
            <family val="2"/>
          </rPr>
          <t>juan david cuenca cuellar: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david cuenca cuellar</author>
  </authors>
  <commentList>
    <comment ref="F2" authorId="0" shapeId="0" xr:uid="{C267DDAE-332D-8D4C-9C21-B1798D419911}">
      <text>
        <r>
          <rPr>
            <b/>
            <sz val="10"/>
            <color rgb="FF000000"/>
            <rFont val="Tahoma"/>
            <family val="2"/>
          </rPr>
          <t xml:space="preserve">3 ENERO 2026
</t>
        </r>
        <r>
          <rPr>
            <b/>
            <sz val="10"/>
            <color rgb="FF000000"/>
            <rFont val="Tahoma"/>
            <family val="2"/>
          </rPr>
          <t xml:space="preserve">2.400.000
</t>
        </r>
        <r>
          <rPr>
            <b/>
            <sz val="10"/>
            <color rgb="FF000000"/>
            <rFont val="Tahoma"/>
            <family val="2"/>
          </rPr>
          <t>CAJA BANCO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G2" authorId="0" shapeId="0" xr:uid="{BE83A071-03B3-8846-A8C0-0339F6446364}">
      <text>
        <r>
          <rPr>
            <b/>
            <sz val="10"/>
            <color rgb="FF000000"/>
            <rFont val="Tahoma"/>
            <family val="2"/>
          </rPr>
          <t xml:space="preserve">3 FEBRERO 2026 
</t>
        </r>
        <r>
          <rPr>
            <b/>
            <sz val="10"/>
            <color rgb="FF000000"/>
            <rFont val="Tahoma"/>
            <family val="2"/>
          </rPr>
          <t xml:space="preserve">2.400.000
</t>
        </r>
        <r>
          <rPr>
            <b/>
            <sz val="10"/>
            <color rgb="FF000000"/>
            <rFont val="Tahoma"/>
            <family val="2"/>
          </rPr>
          <t>CAJA BANCO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H2" authorId="0" shapeId="0" xr:uid="{3FA4DDA8-008F-2D49-AF1A-696A379B9D23}">
      <text>
        <r>
          <rPr>
            <b/>
            <sz val="10"/>
            <color rgb="FF000000"/>
            <rFont val="Tahoma"/>
            <family val="2"/>
          </rPr>
          <t xml:space="preserve">13 marzo 2026 
</t>
        </r>
        <r>
          <rPr>
            <b/>
            <sz val="10"/>
            <color rgb="FF000000"/>
            <rFont val="Tahoma"/>
            <family val="2"/>
          </rPr>
          <t xml:space="preserve">caja banco 
</t>
        </r>
        <r>
          <rPr>
            <b/>
            <sz val="10"/>
            <color rgb="FF000000"/>
            <rFont val="Tahoma"/>
            <family val="2"/>
          </rPr>
          <t>2.400.000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I2" authorId="0" shapeId="0" xr:uid="{11B65F5A-33B0-9B49-BCD8-32F4AAE051B6}">
      <text>
        <r>
          <rPr>
            <b/>
            <sz val="10"/>
            <color rgb="FF000000"/>
            <rFont val="Tahoma"/>
            <family val="2"/>
          </rPr>
          <t xml:space="preserve">18 ABRIL 2026 
</t>
        </r>
        <r>
          <rPr>
            <b/>
            <sz val="10"/>
            <color rgb="FF000000"/>
            <rFont val="Tahoma"/>
            <family val="2"/>
          </rPr>
          <t xml:space="preserve">EFECTIVO BANCO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2" authorId="0" shapeId="0" xr:uid="{8464B468-1AAB-4148-9C16-5F6CB4A72924}">
      <text>
        <r>
          <rPr>
            <b/>
            <sz val="10"/>
            <color rgb="FF000000"/>
            <rFont val="Tahoma"/>
            <family val="2"/>
          </rPr>
          <t xml:space="preserve">4 MAYO 2026 
</t>
        </r>
        <r>
          <rPr>
            <b/>
            <sz val="10"/>
            <color rgb="FF000000"/>
            <rFont val="Tahoma"/>
            <family val="2"/>
          </rPr>
          <t xml:space="preserve">2.350.000
</t>
        </r>
        <r>
          <rPr>
            <b/>
            <sz val="10"/>
            <color rgb="FF000000"/>
            <rFont val="Tahoma"/>
            <family val="2"/>
          </rPr>
          <t xml:space="preserve">EN CAJA BANCO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K2" authorId="0" shapeId="0" xr:uid="{CA75E982-9C3C-9548-84EA-98FD5E2A718B}">
      <text>
        <r>
          <rPr>
            <sz val="10"/>
            <color rgb="FF000000"/>
            <rFont val="Tahoma"/>
            <family val="2"/>
          </rPr>
          <t xml:space="preserve">03 JUNIO 2026 
</t>
        </r>
        <r>
          <rPr>
            <sz val="10"/>
            <color rgb="FF000000"/>
            <rFont val="Tahoma"/>
            <family val="2"/>
          </rPr>
          <t xml:space="preserve">2.400.000
</t>
        </r>
        <r>
          <rPr>
            <sz val="10"/>
            <color rgb="FF000000"/>
            <rFont val="Tahoma"/>
            <family val="2"/>
          </rPr>
          <t xml:space="preserve">CONSIGNADOS EN EL BANCO </t>
        </r>
      </text>
    </comment>
    <comment ref="L2" authorId="0" shapeId="0" xr:uid="{691C4FCF-552F-964E-B546-D50A1B517C9D}">
      <text>
        <r>
          <rPr>
            <sz val="10"/>
            <color rgb="FF000000"/>
            <rFont val="Tahoma"/>
            <family val="2"/>
          </rPr>
          <t xml:space="preserve">6 julio 2026 
</t>
        </r>
        <r>
          <rPr>
            <sz val="10"/>
            <color rgb="FF000000"/>
            <rFont val="Tahoma"/>
            <family val="2"/>
          </rPr>
          <t>2.420.000</t>
        </r>
      </text>
    </comment>
    <comment ref="H3" authorId="0" shapeId="0" xr:uid="{21814F92-7B00-DD40-9F67-1548FBA4B557}">
      <text>
        <r>
          <rPr>
            <sz val="10"/>
            <color rgb="FF000000"/>
            <rFont val="Tahoma"/>
            <family val="2"/>
          </rPr>
          <t xml:space="preserve">18 ABRIL 2026 
</t>
        </r>
        <r>
          <rPr>
            <sz val="10"/>
            <color rgb="FF000000"/>
            <rFont val="Tahoma"/>
            <family val="2"/>
          </rPr>
          <t xml:space="preserve">2.700.000 EN EL BANCO </t>
        </r>
      </text>
    </comment>
    <comment ref="I3" authorId="0" shapeId="0" xr:uid="{5853FE52-95D3-4144-859D-07B5DE2B2D97}">
      <text>
        <r>
          <rPr>
            <b/>
            <sz val="10"/>
            <color rgb="FF000000"/>
            <rFont val="Tahoma"/>
            <family val="2"/>
          </rPr>
          <t xml:space="preserve">3 JUNIO 2026 
</t>
        </r>
        <r>
          <rPr>
            <b/>
            <sz val="10"/>
            <color rgb="FF000000"/>
            <rFont val="Tahoma"/>
            <family val="2"/>
          </rPr>
          <t xml:space="preserve">2.700.000
</t>
        </r>
        <r>
          <rPr>
            <b/>
            <sz val="10"/>
            <color rgb="FF000000"/>
            <rFont val="Tahoma"/>
            <family val="2"/>
          </rPr>
          <t xml:space="preserve">CONSIGNADOS EN EFECTIVO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F4" authorId="0" shapeId="0" xr:uid="{0392368A-FFB7-864D-9A4B-E38A8D383D23}">
      <text>
        <r>
          <rPr>
            <sz val="10"/>
            <color rgb="FF000000"/>
            <rFont val="Tahoma"/>
            <family val="2"/>
          </rPr>
          <t xml:space="preserve">4 ENERO 2026
</t>
        </r>
        <r>
          <rPr>
            <sz val="10"/>
            <color rgb="FF000000"/>
            <rFont val="Tahoma"/>
            <family val="2"/>
          </rPr>
          <t xml:space="preserve">TRANSFERENCIA BANCOLOMBIA
</t>
        </r>
        <r>
          <rPr>
            <sz val="10"/>
            <color rgb="FF000000"/>
            <rFont val="Tahoma"/>
            <family val="2"/>
          </rPr>
          <t>2,420.000</t>
        </r>
      </text>
    </comment>
    <comment ref="G4" authorId="0" shapeId="0" xr:uid="{7BBC9087-40F1-3B4E-BD07-1D73FEC509C2}">
      <text>
        <r>
          <rPr>
            <sz val="10"/>
            <color rgb="FF000000"/>
            <rFont val="Tahoma"/>
            <family val="2"/>
          </rPr>
          <t xml:space="preserve">4 FEBRERO 2026 
</t>
        </r>
        <r>
          <rPr>
            <sz val="10"/>
            <color rgb="FF000000"/>
            <rFont val="Tahoma"/>
            <family val="2"/>
          </rPr>
          <t xml:space="preserve">2.420.000 
</t>
        </r>
        <r>
          <rPr>
            <sz val="10"/>
            <color rgb="FF000000"/>
            <rFont val="Tahoma"/>
            <family val="2"/>
          </rPr>
          <t>TRASF BANCOLOMBIA</t>
        </r>
      </text>
    </comment>
    <comment ref="H4" authorId="0" shapeId="0" xr:uid="{7C52745C-9707-B34A-9A0D-F44109D6404C}">
      <text>
        <r>
          <rPr>
            <b/>
            <sz val="10"/>
            <color rgb="FF000000"/>
            <rFont val="Tahoma"/>
            <family val="2"/>
          </rPr>
          <t xml:space="preserve">4 marzo 2026 
</t>
        </r>
        <r>
          <rPr>
            <b/>
            <sz val="10"/>
            <color rgb="FF000000"/>
            <rFont val="Tahoma"/>
            <family val="2"/>
          </rPr>
          <t xml:space="preserve">transferencia a bancolombia 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2.420.000</t>
        </r>
      </text>
    </comment>
    <comment ref="I4" authorId="0" shapeId="0" xr:uid="{DF3F62E8-F57B-5A41-8448-25BB5F811530}">
      <text>
        <r>
          <rPr>
            <b/>
            <sz val="10"/>
            <color rgb="FF000000"/>
            <rFont val="Tahoma"/>
            <family val="2"/>
          </rPr>
          <t xml:space="preserve">06 de abril 2026 
</t>
        </r>
        <r>
          <rPr>
            <b/>
            <sz val="10"/>
            <color rgb="FF000000"/>
            <rFont val="Tahoma"/>
            <family val="2"/>
          </rPr>
          <t xml:space="preserve">2.420.000 
</t>
        </r>
        <r>
          <rPr>
            <b/>
            <sz val="10"/>
            <color rgb="FF000000"/>
            <rFont val="Tahoma"/>
            <family val="2"/>
          </rPr>
          <t>consignados a bancolombia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4" authorId="0" shapeId="0" xr:uid="{6B837A41-37CB-3F4C-B2BC-3B9E7E53D17D}">
      <text>
        <r>
          <rPr>
            <sz val="10"/>
            <color rgb="FF000000"/>
            <rFont val="Tahoma"/>
            <family val="2"/>
          </rPr>
          <t xml:space="preserve">04 de mayo 2026 
</t>
        </r>
        <r>
          <rPr>
            <sz val="10"/>
            <color rgb="FF000000"/>
            <rFont val="Tahoma"/>
            <family val="2"/>
          </rPr>
          <t xml:space="preserve">2.420.000 
</t>
        </r>
        <r>
          <rPr>
            <sz val="10"/>
            <color rgb="FF000000"/>
            <rFont val="Tahoma"/>
            <family val="2"/>
          </rPr>
          <t xml:space="preserve">bancolombia </t>
        </r>
      </text>
    </comment>
    <comment ref="K4" authorId="0" shapeId="0" xr:uid="{E74B67CD-AED0-EF4B-A7B2-70F97FD0D099}">
      <text>
        <r>
          <rPr>
            <b/>
            <sz val="10"/>
            <color rgb="FF000000"/>
            <rFont val="Tahoma"/>
            <family val="2"/>
          </rPr>
          <t xml:space="preserve">04 JUNIO 2026 
</t>
        </r>
        <r>
          <rPr>
            <b/>
            <sz val="10"/>
            <color rgb="FF000000"/>
            <rFont val="Tahoma"/>
            <family val="2"/>
          </rPr>
          <t xml:space="preserve">2.420.000 MAS PRESTAMO RENOVACION CAMARA DE COMERCIO SABOR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L4" authorId="0" shapeId="0" xr:uid="{63C47211-48F2-9A43-A1FA-34D272AA205F}">
      <text>
        <r>
          <rPr>
            <b/>
            <sz val="10"/>
            <color rgb="FF000000"/>
            <rFont val="Tahoma"/>
            <family val="2"/>
          </rPr>
          <t xml:space="preserve">5 JULIO 2026 
</t>
        </r>
        <r>
          <rPr>
            <b/>
            <sz val="10"/>
            <color rgb="FF000000"/>
            <rFont val="Tahoma"/>
            <family val="2"/>
          </rPr>
          <t xml:space="preserve">2.420.000 
</t>
        </r>
        <r>
          <rPr>
            <b/>
            <sz val="10"/>
            <color rgb="FF000000"/>
            <rFont val="Tahoma"/>
            <family val="2"/>
          </rPr>
          <t xml:space="preserve">TRANSFERENCIA A BANCOLOMBIA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B5" authorId="0" shapeId="0" xr:uid="{99D1FBA5-CB54-4E4D-8EEA-F06625CF2452}">
      <text>
        <r>
          <rPr>
            <sz val="10"/>
            <color rgb="FF000000"/>
            <rFont val="Tahoma"/>
            <family val="2"/>
          </rPr>
          <t>MARZO 5 SE CAMBIAN LA FECHA DE PAGO A EL PRIMERO DE CADA MES Y SE SUMAN 15 MILLONES, LACUOTA QUEDA EN $1650.000 Y SE PRESTAN $15.000.000 A ECOBABY</t>
        </r>
      </text>
    </comment>
    <comment ref="F5" authorId="0" shapeId="0" xr:uid="{81A4FEAE-39A8-1144-BC76-548FF90E3819}">
      <text>
        <r>
          <rPr>
            <sz val="10"/>
            <color rgb="FF000000"/>
            <rFont val="Tahoma"/>
            <family val="2"/>
          </rPr>
          <t xml:space="preserve">5 ENERO 2026
</t>
        </r>
        <r>
          <rPr>
            <sz val="10"/>
            <color rgb="FF000000"/>
            <rFont val="Tahoma"/>
            <family val="2"/>
          </rPr>
          <t>TRANSFERENCIA BANCOLOMBIA</t>
        </r>
      </text>
    </comment>
    <comment ref="G5" authorId="0" shapeId="0" xr:uid="{41D4746C-EB43-C544-8533-9C3C59EDEA52}">
      <text>
        <r>
          <rPr>
            <b/>
            <sz val="10"/>
            <color rgb="FF000000"/>
            <rFont val="Tahoma"/>
            <family val="2"/>
          </rPr>
          <t xml:space="preserve">04 FEBRERO 2026 
</t>
        </r>
        <r>
          <rPr>
            <b/>
            <sz val="10"/>
            <color rgb="FF000000"/>
            <rFont val="Tahoma"/>
            <family val="2"/>
          </rPr>
          <t xml:space="preserve">1.650.000
</t>
        </r>
        <r>
          <rPr>
            <b/>
            <sz val="10"/>
            <color rgb="FF000000"/>
            <rFont val="Tahoma"/>
            <family val="2"/>
          </rPr>
          <t>TRANSFERENCIAS (2)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H5" authorId="0" shapeId="0" xr:uid="{14F5FA5F-35A2-C04F-947A-11D618FC9170}">
      <text>
        <r>
          <rPr>
            <b/>
            <sz val="10"/>
            <color rgb="FF000000"/>
            <rFont val="Tahoma"/>
            <family val="2"/>
          </rPr>
          <t>pendientes 400.000 abono de 1.300.000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I5" authorId="0" shapeId="0" xr:uid="{32F7C20B-8E7C-D746-9399-E47873917B44}">
      <text>
        <r>
          <rPr>
            <b/>
            <sz val="10"/>
            <color rgb="FF000000"/>
            <rFont val="Tahoma"/>
            <family val="2"/>
          </rPr>
          <t xml:space="preserve">06 de abril 
</t>
        </r>
        <r>
          <rPr>
            <b/>
            <sz val="10"/>
            <color rgb="FF000000"/>
            <rFont val="Tahoma"/>
            <family val="2"/>
          </rPr>
          <t xml:space="preserve">1.330.000 
</t>
        </r>
        <r>
          <rPr>
            <b/>
            <sz val="10"/>
            <color rgb="FF000000"/>
            <rFont val="Tahoma"/>
            <family val="2"/>
          </rPr>
          <t xml:space="preserve">enviados a bancolombia 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ya se le pago el restante del mes anterior y este </t>
        </r>
      </text>
    </comment>
    <comment ref="J5" authorId="0" shapeId="0" xr:uid="{5897F0A3-733F-C44B-864D-BEE3D21811F1}">
      <text>
        <r>
          <rPr>
            <sz val="10"/>
            <color rgb="FF000000"/>
            <rFont val="Tahoma"/>
            <family val="2"/>
          </rPr>
          <t xml:space="preserve">05 mayo 2026 
</t>
        </r>
        <r>
          <rPr>
            <sz val="10"/>
            <color rgb="FF000000"/>
            <rFont val="Tahoma"/>
            <family val="2"/>
          </rPr>
          <t xml:space="preserve">1.365.000 
</t>
        </r>
        <r>
          <rPr>
            <sz val="10"/>
            <color rgb="FF000000"/>
            <rFont val="Tahoma"/>
            <family val="2"/>
          </rPr>
          <t xml:space="preserve">enviadodos a bancolombia </t>
        </r>
      </text>
    </comment>
    <comment ref="K5" authorId="0" shapeId="0" xr:uid="{D2042950-C3D7-0847-ADDC-4D8CACABB5B1}">
      <text>
        <r>
          <rPr>
            <b/>
            <sz val="10"/>
            <color rgb="FF000000"/>
            <rFont val="Tahoma"/>
            <family val="2"/>
          </rPr>
          <t xml:space="preserve">05 JUNIO 2026 
</t>
        </r>
        <r>
          <rPr>
            <b/>
            <sz val="10"/>
            <color rgb="FF000000"/>
            <rFont val="Tahoma"/>
            <family val="2"/>
          </rPr>
          <t xml:space="preserve">1.365.000 
</t>
        </r>
        <r>
          <rPr>
            <b/>
            <sz val="10"/>
            <color rgb="FF000000"/>
            <rFont val="Tahoma"/>
            <family val="2"/>
          </rPr>
          <t xml:space="preserve">SALDO: 135.000 </t>
        </r>
      </text>
    </comment>
    <comment ref="L5" authorId="0" shapeId="0" xr:uid="{0185138B-7006-7E4A-8E27-EAF1224EB700}">
      <text>
        <r>
          <rPr>
            <b/>
            <sz val="10"/>
            <color rgb="FF000000"/>
            <rFont val="Tahoma"/>
            <family val="2"/>
          </rPr>
          <t xml:space="preserve">05 JUNIO 2026 
</t>
        </r>
        <r>
          <rPr>
            <b/>
            <sz val="10"/>
            <color rgb="FF000000"/>
            <rFont val="Tahoma"/>
            <family val="2"/>
          </rPr>
          <t xml:space="preserve">1.365.000 
</t>
        </r>
        <r>
          <rPr>
            <b/>
            <sz val="10"/>
            <color rgb="FF000000"/>
            <rFont val="Tahoma"/>
            <family val="2"/>
          </rPr>
          <t xml:space="preserve">SALDO: 135.000 </t>
        </r>
      </text>
    </comment>
    <comment ref="B6" authorId="0" shapeId="0" xr:uid="{833E5154-72CC-2F42-8E85-3B0FC832695A}">
      <text>
        <r>
          <rPr>
            <b/>
            <sz val="10"/>
            <color rgb="FF000000"/>
            <rFont val="Tahoma"/>
            <family val="2"/>
          </rPr>
          <t xml:space="preserve">SE PAGA ENTRE ECOBABY Y PREVENTSALUD 
</t>
        </r>
        <r>
          <rPr>
            <b/>
            <sz val="10"/>
            <color rgb="FF000000"/>
            <rFont val="Tahoma"/>
            <family val="2"/>
          </rPr>
          <t>SE USO PARA PAGAR IMPUESTOS ( DIAN )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F6" authorId="0" shapeId="0" xr:uid="{4692D2C7-0CF6-B342-9913-2D89EA74108A}">
      <text>
        <r>
          <rPr>
            <b/>
            <sz val="10"/>
            <color rgb="FF000000"/>
            <rFont val="Tahoma"/>
            <family val="2"/>
          </rPr>
          <t xml:space="preserve">30 ENERO 2026 
</t>
        </r>
        <r>
          <rPr>
            <b/>
            <sz val="10"/>
            <color rgb="FF000000"/>
            <rFont val="Tahoma"/>
            <family val="2"/>
          </rPr>
          <t xml:space="preserve">700.000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G6" authorId="0" shapeId="0" xr:uid="{8355A900-1520-7F48-B690-19FF1C53786E}">
      <text>
        <r>
          <rPr>
            <b/>
            <sz val="10"/>
            <color rgb="FF000000"/>
            <rFont val="Tahoma"/>
            <family val="2"/>
          </rPr>
          <t xml:space="preserve">28 febrero 2026 
</t>
        </r>
        <r>
          <rPr>
            <b/>
            <sz val="10"/>
            <color rgb="FF000000"/>
            <rFont val="Tahoma"/>
            <family val="2"/>
          </rPr>
          <t xml:space="preserve">700.000 
</t>
        </r>
        <r>
          <rPr>
            <b/>
            <sz val="10"/>
            <color rgb="FF000000"/>
            <rFont val="Tahoma"/>
            <family val="2"/>
          </rPr>
          <t>efectivo a yeli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L6" authorId="0" shapeId="0" xr:uid="{2DC37524-5A43-7140-BDC4-2EF9B52D081B}">
      <text>
        <r>
          <rPr>
            <b/>
            <sz val="10"/>
            <color rgb="FF000000"/>
            <rFont val="Tahoma"/>
            <family val="2"/>
          </rPr>
          <t>debido a que se bajo el interes de 3% a 2%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F8" authorId="0" shapeId="0" xr:uid="{8B2D5DEF-0A40-BC40-BE07-DB0F090AE823}">
      <text>
        <r>
          <rPr>
            <b/>
            <sz val="10"/>
            <color rgb="FF000000"/>
            <rFont val="Tahoma"/>
            <family val="2"/>
          </rPr>
          <t xml:space="preserve">EFECTIVO 20 ENERO 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david cuenca cuellar</author>
  </authors>
  <commentList>
    <comment ref="D3" authorId="0" shapeId="0" xr:uid="{F77FAAC7-5538-F74A-816B-3CB039581D19}">
      <text>
        <r>
          <rPr>
            <b/>
            <sz val="10"/>
            <color rgb="FF000000"/>
            <rFont val="Tahoma"/>
            <family val="2"/>
          </rPr>
          <t xml:space="preserve">21 enero 2026 
</t>
        </r>
        <r>
          <rPr>
            <b/>
            <sz val="10"/>
            <color rgb="FF000000"/>
            <rFont val="Tahoma"/>
            <family val="2"/>
          </rPr>
          <t xml:space="preserve">envio a nequi 
</t>
        </r>
        <r>
          <rPr>
            <b/>
            <sz val="10"/>
            <color rgb="FF000000"/>
            <rFont val="Tahoma"/>
            <family val="2"/>
          </rPr>
          <t>875.000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H3" authorId="0" shapeId="0" xr:uid="{9596B900-F0A4-844A-9559-A6E37537592A}">
      <text>
        <r>
          <rPr>
            <b/>
            <sz val="10"/>
            <color rgb="FF000000"/>
            <rFont val="Tahoma"/>
            <family val="2"/>
          </rPr>
          <t xml:space="preserve">21 marzo 2026 
</t>
        </r>
        <r>
          <rPr>
            <b/>
            <sz val="10"/>
            <color rgb="FF000000"/>
            <rFont val="Tahoma"/>
            <family val="2"/>
          </rPr>
          <t xml:space="preserve">875.000 
</t>
        </r>
        <r>
          <rPr>
            <b/>
            <sz val="10"/>
            <color rgb="FF000000"/>
            <rFont val="Tahoma"/>
            <family val="2"/>
          </rPr>
          <t xml:space="preserve">transferencia a llave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3" authorId="0" shapeId="0" xr:uid="{CCC969C7-FC44-3E41-90DC-1B808E0D8149}">
      <text>
        <r>
          <rPr>
            <b/>
            <sz val="10"/>
            <color rgb="FF000000"/>
            <rFont val="Tahoma"/>
            <family val="2"/>
          </rPr>
          <t xml:space="preserve">21 abril 2026
</t>
        </r>
        <r>
          <rPr>
            <b/>
            <sz val="10"/>
            <color rgb="FF000000"/>
            <rFont val="Tahoma"/>
            <family val="2"/>
          </rPr>
          <t xml:space="preserve">875.000 
</t>
        </r>
        <r>
          <rPr>
            <b/>
            <sz val="10"/>
            <color rgb="FF000000"/>
            <rFont val="Tahoma"/>
            <family val="2"/>
          </rPr>
          <t xml:space="preserve">transferemncia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K3" authorId="0" shapeId="0" xr:uid="{0A83ECF6-770E-EC45-89E4-7BFA2FD2921D}">
      <text>
        <r>
          <rPr>
            <b/>
            <sz val="10"/>
            <color rgb="FF000000"/>
            <rFont val="Tahoma"/>
            <family val="2"/>
          </rPr>
          <t xml:space="preserve">07 mayo 2026
</t>
        </r>
        <r>
          <rPr>
            <b/>
            <sz val="10"/>
            <color rgb="FF000000"/>
            <rFont val="Tahoma"/>
            <family val="2"/>
          </rPr>
          <t xml:space="preserve">transferencia a nequi 
</t>
        </r>
        <r>
          <rPr>
            <b/>
            <sz val="10"/>
            <color rgb="FF000000"/>
            <rFont val="Tahoma"/>
            <family val="2"/>
          </rPr>
          <t>875.000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L3" authorId="0" shapeId="0" xr:uid="{265A3ECC-8AC1-2746-88FC-8EDEF04ED270}">
      <text>
        <r>
          <rPr>
            <b/>
            <sz val="10"/>
            <color rgb="FF000000"/>
            <rFont val="Tahoma"/>
            <family val="2"/>
          </rPr>
          <t xml:space="preserve">21 DE MAYO
</t>
        </r>
        <r>
          <rPr>
            <b/>
            <sz val="10"/>
            <color rgb="FF000000"/>
            <rFont val="Tahoma"/>
            <family val="2"/>
          </rPr>
          <t>SE ENVIA POR TRASFERENCIA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M3" authorId="0" shapeId="0" xr:uid="{4662BBF0-73B8-854E-B241-196DA0130AD0}">
      <text>
        <r>
          <rPr>
            <b/>
            <sz val="10"/>
            <color rgb="FF000000"/>
            <rFont val="Tahoma"/>
            <family val="2"/>
          </rPr>
          <t xml:space="preserve">06 JUNIO 2026 
</t>
        </r>
        <r>
          <rPr>
            <b/>
            <sz val="10"/>
            <color rgb="FF000000"/>
            <rFont val="Tahoma"/>
            <family val="2"/>
          </rPr>
          <t xml:space="preserve">875.000 
</t>
        </r>
        <r>
          <rPr>
            <b/>
            <sz val="10"/>
            <color rgb="FF000000"/>
            <rFont val="Tahoma"/>
            <family val="2"/>
          </rPr>
          <t xml:space="preserve">TRANSFERENCIA A NEQUI LLABE </t>
        </r>
      </text>
    </comment>
    <comment ref="K4" authorId="0" shapeId="0" xr:uid="{FD8CA679-5332-A842-87D8-871DA2E24FAB}">
      <text>
        <r>
          <rPr>
            <sz val="10"/>
            <color rgb="FF000000"/>
            <rFont val="Tahoma"/>
            <family val="2"/>
          </rPr>
          <t xml:space="preserve">07 MAYO 2026 
</t>
        </r>
        <r>
          <rPr>
            <sz val="10"/>
            <color rgb="FF000000"/>
            <rFont val="Tahoma"/>
            <family val="2"/>
          </rPr>
          <t xml:space="preserve">1.000.000
</t>
        </r>
        <r>
          <rPr>
            <sz val="10"/>
            <color rgb="FF000000"/>
            <rFont val="Tahoma"/>
            <family val="2"/>
          </rPr>
          <t xml:space="preserve">TRANSFERENCIA DE 400.000
</t>
        </r>
        <r>
          <rPr>
            <sz val="10"/>
            <color rgb="FF000000"/>
            <rFont val="Tahoma"/>
            <family val="2"/>
          </rPr>
          <t xml:space="preserve">400.000 EFECTIVO 
</t>
        </r>
        <r>
          <rPr>
            <sz val="10"/>
            <color rgb="FF000000"/>
            <rFont val="Tahoma"/>
            <family val="2"/>
          </rPr>
          <t xml:space="preserve">200.000 DESCUENTO CADENAS </t>
        </r>
      </text>
    </comment>
    <comment ref="L4" authorId="0" shapeId="0" xr:uid="{49E06B6B-4C14-A14C-AE1D-4AD94136FB84}">
      <text>
        <r>
          <rPr>
            <b/>
            <sz val="10"/>
            <color rgb="FF000000"/>
            <rFont val="Tahoma"/>
            <family val="2"/>
          </rPr>
          <t>21 DE MAYO800000 EN EFECTIVO SE DESCUENTA 200000 DE LA CADENA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L5" authorId="0" shapeId="0" xr:uid="{7575E80D-479D-4149-B3FB-58754B8711E6}">
      <text>
        <r>
          <rPr>
            <b/>
            <sz val="10"/>
            <color rgb="FF000000"/>
            <rFont val="Tahoma"/>
            <family val="2"/>
          </rPr>
          <t xml:space="preserve">22 DE MAYO
</t>
        </r>
        <r>
          <rPr>
            <b/>
            <sz val="10"/>
            <color rgb="FF000000"/>
            <rFont val="Tahoma"/>
            <family val="2"/>
          </rPr>
          <t xml:space="preserve">PAGO EN EFECTIVO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M5" authorId="0" shapeId="0" xr:uid="{9693EFD3-8C46-AF43-919D-C86C38D557BD}">
      <text>
        <r>
          <rPr>
            <b/>
            <sz val="10"/>
            <color rgb="FF000000"/>
            <rFont val="Tahoma"/>
            <family val="2"/>
          </rPr>
          <t xml:space="preserve">TRANSFERENCIA A NEQUI 06 JUNIO 2026 
</t>
        </r>
        <r>
          <rPr>
            <b/>
            <sz val="10"/>
            <color rgb="FF000000"/>
            <rFont val="Tahoma"/>
            <family val="2"/>
          </rPr>
          <t>1.150.000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6" authorId="0" shapeId="0" xr:uid="{74B616DD-054B-7041-BBDD-6F28019B0922}">
      <text>
        <r>
          <rPr>
            <b/>
            <sz val="10"/>
            <color rgb="FF000000"/>
            <rFont val="Tahoma"/>
            <family val="2"/>
          </rPr>
          <t xml:space="preserve">22 enero 2025 
</t>
        </r>
        <r>
          <rPr>
            <b/>
            <sz val="10"/>
            <color rgb="FF000000"/>
            <rFont val="Tahoma"/>
            <family val="2"/>
          </rPr>
          <t xml:space="preserve">850.000 efectivo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L6" authorId="0" shapeId="0" xr:uid="{B4874859-CB34-E64F-8508-3ECDA75DE5C0}">
      <text>
        <r>
          <rPr>
            <b/>
            <sz val="10"/>
            <color rgb="FF000000"/>
            <rFont val="Tahoma"/>
            <family val="2"/>
          </rPr>
          <t xml:space="preserve">21 de mayo
</t>
        </r>
        <r>
          <rPr>
            <b/>
            <sz val="10"/>
            <color rgb="FF000000"/>
            <rFont val="Tahoma"/>
            <family val="2"/>
          </rPr>
          <t xml:space="preserve"> SE DESCUENTA 300000 DE LA CADENA 700000 EN EFECTIVO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H8" authorId="0" shapeId="0" xr:uid="{10DFADA6-C6CC-EC40-8329-A233B0288897}">
      <text>
        <r>
          <rPr>
            <sz val="10"/>
            <color rgb="FF000000"/>
            <rFont val="Tahoma"/>
            <family val="2"/>
          </rPr>
          <t xml:space="preserve">20 marzo 2026 
</t>
        </r>
        <r>
          <rPr>
            <sz val="10"/>
            <color rgb="FF000000"/>
            <rFont val="Tahoma"/>
            <family val="2"/>
          </rPr>
          <t xml:space="preserve">transferencia de bbva a bbva </t>
        </r>
      </text>
    </comment>
    <comment ref="L8" authorId="0" shapeId="0" xr:uid="{7F0892D3-D0CF-9244-80BD-C34B5828E95C}">
      <text>
        <r>
          <rPr>
            <sz val="10"/>
            <color rgb="FF000000"/>
            <rFont val="Tahoma"/>
            <family val="2"/>
          </rPr>
          <t xml:space="preserve">pago por trasferencia </t>
        </r>
      </text>
    </comment>
    <comment ref="M8" authorId="0" shapeId="0" xr:uid="{B690B5DF-AC9B-DF47-ABE2-D08C852FD6DE}">
      <text>
        <r>
          <rPr>
            <b/>
            <sz val="10"/>
            <color rgb="FF000000"/>
            <rFont val="Tahoma"/>
            <family val="2"/>
          </rPr>
          <t xml:space="preserve">6 JUNIO 2026 
</t>
        </r>
        <r>
          <rPr>
            <b/>
            <sz val="10"/>
            <color rgb="FF000000"/>
            <rFont val="Tahoma"/>
            <family val="2"/>
          </rPr>
          <t xml:space="preserve">TRANSFERENCIA A BBVA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9" authorId="0" shapeId="0" xr:uid="{0DF0C6CB-2A2F-9B48-BE37-E9005EA596EA}">
      <text>
        <r>
          <rPr>
            <sz val="10"/>
            <color rgb="FF000000"/>
            <rFont val="Tahoma"/>
            <family val="2"/>
          </rPr>
          <t xml:space="preserve">06 ABRIL 2026 
</t>
        </r>
        <r>
          <rPr>
            <sz val="10"/>
            <color rgb="FF000000"/>
            <rFont val="Tahoma"/>
            <family val="2"/>
          </rPr>
          <t>DESDE BANCOLOMBIA</t>
        </r>
      </text>
    </comment>
    <comment ref="L9" authorId="0" shapeId="0" xr:uid="{AA361DC4-B84A-7D4D-ADB5-556E36D32F56}">
      <text>
        <r>
          <rPr>
            <b/>
            <sz val="10"/>
            <color rgb="FF000000"/>
            <rFont val="Tahoma"/>
            <family val="2"/>
          </rPr>
          <t>Nequi Mayo 11 $149.000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M9" authorId="0" shapeId="0" xr:uid="{F5A9D5B8-2C63-FD46-BC05-93CD05A78CD1}">
      <text>
        <r>
          <rPr>
            <b/>
            <sz val="10"/>
            <color rgb="FF000000"/>
            <rFont val="Tahoma"/>
            <family val="2"/>
          </rPr>
          <t xml:space="preserve">8 JUNIO 2026 
</t>
        </r>
        <r>
          <rPr>
            <b/>
            <sz val="10"/>
            <color rgb="FF000000"/>
            <rFont val="Tahoma"/>
            <family val="2"/>
          </rPr>
          <t xml:space="preserve">149.000 
</t>
        </r>
        <r>
          <rPr>
            <b/>
            <sz val="10"/>
            <color rgb="FF000000"/>
            <rFont val="Tahoma"/>
            <family val="2"/>
          </rPr>
          <t xml:space="preserve">TRANSFERENCIA A NEQUI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I10" authorId="0" shapeId="0" xr:uid="{D4D33847-CD8F-C748-98BD-C87406FC8568}">
      <text>
        <r>
          <rPr>
            <b/>
            <sz val="10"/>
            <color rgb="FF000000"/>
            <rFont val="Tahoma"/>
            <family val="2"/>
          </rPr>
          <t xml:space="preserve">TIENE ABONO DE 400.000
</t>
        </r>
        <r>
          <rPr>
            <b/>
            <sz val="10"/>
            <color rgb="FF000000"/>
            <rFont val="Tahoma"/>
            <family val="2"/>
          </rPr>
          <t xml:space="preserve">700.000 
</t>
        </r>
        <r>
          <rPr>
            <b/>
            <sz val="10"/>
            <color rgb="FF000000"/>
            <rFont val="Tahoma"/>
            <family val="2"/>
          </rPr>
          <t xml:space="preserve">SE LE ENTREGAN EN EFECTIVO A LA ESPOSA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I11" authorId="0" shapeId="0" xr:uid="{248BB7C4-B899-9643-9B72-7C6E5390F33A}">
      <text>
        <r>
          <rPr>
            <b/>
            <sz val="10"/>
            <color rgb="FF000000"/>
            <rFont val="Tahoma"/>
            <family val="2"/>
          </rPr>
          <t xml:space="preserve">10 ABRIL 2026
</t>
        </r>
        <r>
          <rPr>
            <b/>
            <sz val="10"/>
            <color rgb="FF000000"/>
            <rFont val="Tahoma"/>
            <family val="2"/>
          </rPr>
          <t>1.000.000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K11" authorId="0" shapeId="0" xr:uid="{A18E748F-18A5-0C4C-8BC9-183E4CC4EDB6}">
      <text>
        <r>
          <rPr>
            <sz val="10"/>
            <color rgb="FF000000"/>
            <rFont val="Tahoma"/>
            <family val="2"/>
          </rPr>
          <t xml:space="preserve">07 mayo 2026
</t>
        </r>
        <r>
          <rPr>
            <sz val="10"/>
            <color rgb="FF000000"/>
            <rFont val="Tahoma"/>
            <family val="2"/>
          </rPr>
          <t xml:space="preserve">600.000 daviplata
</t>
        </r>
        <r>
          <rPr>
            <sz val="10"/>
            <color rgb="FF000000"/>
            <rFont val="Tahoma"/>
            <family val="2"/>
          </rPr>
          <t xml:space="preserve">300.000 efectivo 
</t>
        </r>
        <r>
          <rPr>
            <sz val="10"/>
            <color rgb="FF000000"/>
            <rFont val="Tahoma"/>
            <family val="2"/>
          </rPr>
          <t xml:space="preserve">100.000 cadena </t>
        </r>
      </text>
    </comment>
    <comment ref="L11" authorId="0" shapeId="0" xr:uid="{18120B22-68F5-D347-BD51-9BA5056DC85E}">
      <text>
        <r>
          <rPr>
            <b/>
            <sz val="10"/>
            <color rgb="FF000000"/>
            <rFont val="Tahoma"/>
            <family val="2"/>
          </rPr>
          <t xml:space="preserve">21 DE MAYO
</t>
        </r>
        <r>
          <rPr>
            <b/>
            <sz val="10"/>
            <color rgb="FF000000"/>
            <rFont val="Tahoma"/>
            <family val="2"/>
          </rPr>
          <t xml:space="preserve">DESCUENTO 100000 DE LA CADENA 900000 EN EFECTIVO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I12" authorId="0" shapeId="0" xr:uid="{A51A64C2-5D7C-624B-9F81-ECC7CAB0309A}">
      <text>
        <r>
          <rPr>
            <b/>
            <sz val="10"/>
            <color rgb="FF000000"/>
            <rFont val="Tahoma"/>
            <family val="2"/>
          </rPr>
          <t xml:space="preserve">10 ABRIL 2026 
</t>
        </r>
        <r>
          <rPr>
            <b/>
            <sz val="10"/>
            <color rgb="FF000000"/>
            <rFont val="Tahoma"/>
            <family val="2"/>
          </rPr>
          <t xml:space="preserve">700.000 
</t>
        </r>
        <r>
          <rPr>
            <b/>
            <sz val="10"/>
            <color rgb="FF000000"/>
            <rFont val="Tahoma"/>
            <family val="2"/>
          </rPr>
          <t xml:space="preserve">MAS ANTICIPO DE 20.000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12" authorId="0" shapeId="0" xr:uid="{27E9BB43-EAFE-3C4D-AB85-CF8C9A3CD419}">
      <text>
        <r>
          <rPr>
            <sz val="10"/>
            <color rgb="FF000000"/>
            <rFont val="Tahoma"/>
            <family val="2"/>
          </rPr>
          <t xml:space="preserve">21 abril 2026 
</t>
        </r>
        <r>
          <rPr>
            <sz val="10"/>
            <color rgb="FF000000"/>
            <rFont val="Tahoma"/>
            <family val="2"/>
          </rPr>
          <t xml:space="preserve">transferencia a nequi 
</t>
        </r>
        <r>
          <rPr>
            <sz val="10"/>
            <color rgb="FF000000"/>
            <rFont val="Tahoma"/>
            <family val="2"/>
          </rPr>
          <t>720.000</t>
        </r>
      </text>
    </comment>
    <comment ref="K12" authorId="0" shapeId="0" xr:uid="{CF9D8656-9E43-A243-9675-01D81830E056}">
      <text>
        <r>
          <rPr>
            <b/>
            <sz val="10"/>
            <color rgb="FF000000"/>
            <rFont val="Tahoma"/>
            <family val="2"/>
          </rPr>
          <t xml:space="preserve">07 MAYO 2026 
</t>
        </r>
        <r>
          <rPr>
            <b/>
            <sz val="10"/>
            <color rgb="FF000000"/>
            <rFont val="Tahoma"/>
            <family val="2"/>
          </rPr>
          <t xml:space="preserve">TRANSFERENCIA A NEQUI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L12" authorId="0" shapeId="0" xr:uid="{22B8AE9A-18FA-EC4C-89B5-C6BB3F83A7E3}">
      <text>
        <r>
          <rPr>
            <b/>
            <sz val="10"/>
            <color rgb="FF000000"/>
            <rFont val="Tahoma"/>
            <family val="2"/>
          </rPr>
          <t xml:space="preserve">21 DE MAYO
</t>
        </r>
        <r>
          <rPr>
            <b/>
            <sz val="10"/>
            <color rgb="FF000000"/>
            <rFont val="Tahoma"/>
            <family val="2"/>
          </rPr>
          <t xml:space="preserve">PAGO EN EFECTIVO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13" authorId="0" shapeId="0" xr:uid="{D8F997D2-225A-6443-B592-C7DDA3B944B5}">
      <text>
        <r>
          <rPr>
            <b/>
            <sz val="10"/>
            <color rgb="FF000000"/>
            <rFont val="Tahoma"/>
            <family val="2"/>
          </rPr>
          <t xml:space="preserve">23 ENE 2026 
</t>
        </r>
        <r>
          <rPr>
            <b/>
            <sz val="10"/>
            <color rgb="FF000000"/>
            <rFont val="Tahoma"/>
            <family val="2"/>
          </rPr>
          <t xml:space="preserve">PAGO EN EFECTIVO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K13" authorId="0" shapeId="0" xr:uid="{23ECBCC4-C776-434D-9CA8-52D16764F4CF}">
      <text>
        <r>
          <rPr>
            <sz val="10"/>
            <color rgb="FF000000"/>
            <rFont val="Tahoma"/>
            <family val="2"/>
          </rPr>
          <t xml:space="preserve">07 MAYO 2026 
</t>
        </r>
        <r>
          <rPr>
            <sz val="10"/>
            <color rgb="FF000000"/>
            <rFont val="Tahoma"/>
            <family val="2"/>
          </rPr>
          <t xml:space="preserve">1.000.0000 
</t>
        </r>
        <r>
          <rPr>
            <sz val="10"/>
            <color rgb="FF000000"/>
            <rFont val="Tahoma"/>
            <family val="2"/>
          </rPr>
          <t xml:space="preserve">EFECTIVO </t>
        </r>
      </text>
    </comment>
    <comment ref="L13" authorId="0" shapeId="0" xr:uid="{F306FE7B-A8F6-AF43-9464-ABABBD5DB31C}">
      <text>
        <r>
          <rPr>
            <b/>
            <sz val="10"/>
            <color rgb="FF000000"/>
            <rFont val="Tahoma"/>
            <family val="2"/>
          </rPr>
          <t xml:space="preserve">21 DE MAYO
</t>
        </r>
        <r>
          <rPr>
            <b/>
            <sz val="10"/>
            <color rgb="FF000000"/>
            <rFont val="Tahoma"/>
            <family val="2"/>
          </rPr>
          <t>PAGO EN EFECTIVO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F14" authorId="0" shapeId="0" xr:uid="{5A84A4D4-1D31-A14D-A369-F93ED2678543}">
      <text>
        <r>
          <rPr>
            <b/>
            <sz val="10"/>
            <color rgb="FF000000"/>
            <rFont val="Tahoma"/>
            <family val="2"/>
          </rPr>
          <t xml:space="preserve">FEBRERO 23 $700.000 EFECTIVO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L14" authorId="0" shapeId="0" xr:uid="{5C01B485-61C9-BD43-9D76-3040292A8EA0}">
      <text>
        <r>
          <rPr>
            <sz val="10"/>
            <color rgb="FF000000"/>
            <rFont val="Tahoma"/>
            <family val="2"/>
          </rPr>
          <t>22 DE MAYO PAGO EN EFECTIVO</t>
        </r>
      </text>
    </comment>
    <comment ref="D15" authorId="0" shapeId="0" xr:uid="{7B09657C-6C35-B84C-B24C-4256B874AF91}">
      <text>
        <r>
          <rPr>
            <b/>
            <sz val="10"/>
            <color rgb="FF000000"/>
            <rFont val="Tahoma"/>
            <family val="2"/>
          </rPr>
          <t xml:space="preserve">26 ENERO 2026 
</t>
        </r>
        <r>
          <rPr>
            <b/>
            <sz val="10"/>
            <color rgb="FF000000"/>
            <rFont val="Tahoma"/>
            <family val="2"/>
          </rPr>
          <t xml:space="preserve">ENVIADO DESDE NEQUI A BANCOLOMBIA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16" authorId="0" shapeId="0" xr:uid="{B24F1725-2A51-8640-9057-0FD805BAF223}">
      <text>
        <r>
          <rPr>
            <b/>
            <sz val="10"/>
            <color rgb="FF000000"/>
            <rFont val="Tahoma"/>
            <family val="2"/>
          </rPr>
          <t>24 ABRIL 2026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LE ENVIO A BANCOLOMBIA PARA ELLA 1.000.000 
</t>
        </r>
        <r>
          <rPr>
            <sz val="10"/>
            <color rgb="FF000000"/>
            <rFont val="Tahoma"/>
            <family val="2"/>
          </rPr>
          <t xml:space="preserve">ESTA Y LA ANTERIOR Y QUEDA UN SALDO </t>
        </r>
      </text>
    </comment>
    <comment ref="D17" authorId="0" shapeId="0" xr:uid="{23C2AFB6-8182-044A-9E48-8766649637D6}">
      <text>
        <r>
          <rPr>
            <b/>
            <sz val="10"/>
            <color rgb="FF000000"/>
            <rFont val="Tahoma"/>
            <family val="2"/>
          </rPr>
          <t xml:space="preserve">SE AJUSTO DESDE JUNIO,JULIO,AGOSTO,SEPTIEMBRE,OCTUBRE,NOVIEMBRE,DICIEMBRE 2025,ENERO 2026 
</t>
        </r>
        <r>
          <rPr>
            <b/>
            <sz val="10"/>
            <color rgb="FF000000"/>
            <rFont val="Tahoma"/>
            <family val="2"/>
          </rPr>
          <t xml:space="preserve">EL NEGOCIO SE HIZO COMO EL 15 DE FEBRERO M AS O MENOS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19" authorId="0" shapeId="0" xr:uid="{4012AA83-6DAC-0B48-BED9-56D05A43B3B0}">
      <text>
        <r>
          <rPr>
            <b/>
            <sz val="10"/>
            <color rgb="FF000000"/>
            <rFont val="Tahoma"/>
            <family val="2"/>
          </rPr>
          <t>19 ENERO 2026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F19" authorId="0" shapeId="0" xr:uid="{E43693FC-FB12-2C48-9CBF-1A76B4F651C2}">
      <text>
        <r>
          <rPr>
            <b/>
            <sz val="10"/>
            <color rgb="FF000000"/>
            <rFont val="Tahoma"/>
            <family val="2"/>
          </rPr>
          <t>Febrero 13 de 2026 - transferencia Nequi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20" authorId="0" shapeId="0" xr:uid="{19768D63-B0EC-A042-9685-DF79F1D95460}">
      <text>
        <r>
          <rPr>
            <b/>
            <sz val="10"/>
            <color rgb="FF000000"/>
            <rFont val="Tahoma"/>
            <family val="2"/>
          </rPr>
          <t xml:space="preserve">24 enero 2026 
</t>
        </r>
        <r>
          <rPr>
            <b/>
            <sz val="10"/>
            <color rgb="FF000000"/>
            <rFont val="Tahoma"/>
            <family val="2"/>
          </rPr>
          <t xml:space="preserve">entregados en efectivo ips 
</t>
        </r>
        <r>
          <rPr>
            <b/>
            <sz val="10"/>
            <color rgb="FF000000"/>
            <rFont val="Tahoma"/>
            <family val="2"/>
          </rPr>
          <t>500.000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H20" authorId="0" shapeId="0" xr:uid="{730708B5-ABA7-7648-8895-77AEFB75989D}">
      <text>
        <r>
          <rPr>
            <b/>
            <sz val="10"/>
            <color rgb="FF000000"/>
            <rFont val="Tahoma"/>
            <family val="2"/>
          </rPr>
          <t xml:space="preserve">21 marzo 2026 
</t>
        </r>
        <r>
          <rPr>
            <b/>
            <sz val="10"/>
            <color rgb="FF000000"/>
            <rFont val="Tahoma"/>
            <family val="2"/>
          </rPr>
          <t xml:space="preserve">500.000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L20" authorId="0" shapeId="0" xr:uid="{2DF9C243-ABC9-5A4B-BAF5-09B3D4BA8F8F}">
      <text>
        <r>
          <rPr>
            <sz val="10"/>
            <color rgb="FF000000"/>
            <rFont val="Tahoma"/>
            <family val="2"/>
          </rPr>
          <t>PAGO POR TRASFERENCIA</t>
        </r>
      </text>
    </comment>
    <comment ref="F21" authorId="0" shapeId="0" xr:uid="{C1B2CB77-FCE5-7D42-9C67-1E4D644A809D}">
      <text>
        <r>
          <rPr>
            <b/>
            <sz val="10"/>
            <color rgb="FF000000"/>
            <rFont val="Tahoma"/>
            <family val="2"/>
          </rPr>
          <t>Feb 17 - pse - $2.316.100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H21" authorId="0" shapeId="0" xr:uid="{DEDAA310-7A89-FD43-AE01-90BBAB3208E6}">
      <text>
        <r>
          <rPr>
            <b/>
            <sz val="10"/>
            <color rgb="FF000000"/>
            <rFont val="Tahoma"/>
            <family val="2"/>
          </rPr>
          <t xml:space="preserve">21 marzo 206 
</t>
        </r>
        <r>
          <rPr>
            <b/>
            <sz val="10"/>
            <color rgb="FF000000"/>
            <rFont val="Tahoma"/>
            <family val="2"/>
          </rPr>
          <t xml:space="preserve">pse bbva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L21" authorId="0" shapeId="0" xr:uid="{A0D86250-22DB-EF4E-98D0-00E5FF61136D}">
      <text>
        <r>
          <rPr>
            <b/>
            <sz val="10"/>
            <color rgb="FF000000"/>
            <rFont val="Tahoma"/>
            <family val="2"/>
          </rPr>
          <t xml:space="preserve">se cancela el 01 de julio 2026 
</t>
        </r>
        <r>
          <rPr>
            <b/>
            <sz val="10"/>
            <color rgb="FF000000"/>
            <rFont val="Tahoma"/>
            <family val="2"/>
          </rPr>
          <t>2.390.800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N21" authorId="0" shapeId="0" xr:uid="{6DC3F09C-4BF2-2742-8F0E-0AF9FB15E66C}">
      <text>
        <r>
          <rPr>
            <b/>
            <sz val="10"/>
            <color rgb="FF000000"/>
            <rFont val="Tahoma"/>
            <family val="2"/>
          </rPr>
          <t xml:space="preserve">29 julio 2026 
</t>
        </r>
        <r>
          <rPr>
            <b/>
            <sz val="10"/>
            <color rgb="FF000000"/>
            <rFont val="Tahoma"/>
            <family val="2"/>
          </rPr>
          <t xml:space="preserve">bbva 
</t>
        </r>
        <r>
          <rPr>
            <b/>
            <sz val="10"/>
            <color rgb="FF000000"/>
            <rFont val="Tahoma"/>
            <family val="2"/>
          </rPr>
          <t>2.391.800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<sst xmlns="http://schemas.openxmlformats.org/spreadsheetml/2006/main" count="256" uniqueCount="129">
  <si>
    <t>SERVICIOS</t>
  </si>
  <si>
    <t>FECHA</t>
  </si>
  <si>
    <t>EMPRESA</t>
  </si>
  <si>
    <t>DIA DE PAGO</t>
  </si>
  <si>
    <t>REFERENCIA</t>
  </si>
  <si>
    <t>VALOR</t>
  </si>
  <si>
    <t>BIOFILE</t>
  </si>
  <si>
    <t>CELULARES</t>
  </si>
  <si>
    <t>ATICA</t>
  </si>
  <si>
    <t>ARRIENDO</t>
  </si>
  <si>
    <t>ACUEDUCTO 1 PISO</t>
  </si>
  <si>
    <t>ACUEDUCTO2 PISO</t>
  </si>
  <si>
    <t>PROEXEQUIAL</t>
  </si>
  <si>
    <t>CLARO</t>
  </si>
  <si>
    <t>CODENSA 2 PISO</t>
  </si>
  <si>
    <t>0059295-0</t>
  </si>
  <si>
    <t>CODENSA PREVENTSALUD</t>
  </si>
  <si>
    <t>0059293-6</t>
  </si>
  <si>
    <t>ETB</t>
  </si>
  <si>
    <t>GAS 2 PISO</t>
  </si>
  <si>
    <t>CELULAR JUAN</t>
  </si>
  <si>
    <t>CELULAR CONTABILIDAD</t>
  </si>
  <si>
    <t xml:space="preserve">CELULAR SEBASTIAN COMERCIAL </t>
  </si>
  <si>
    <t>CELULAR ASISTENTE COMERCIAL</t>
  </si>
  <si>
    <t xml:space="preserve">SIIGO </t>
  </si>
  <si>
    <t xml:space="preserve">SUPERSALUD </t>
  </si>
  <si>
    <t>DIAN</t>
  </si>
  <si>
    <t>TOTALES</t>
  </si>
  <si>
    <t>ENERO</t>
  </si>
  <si>
    <t xml:space="preserve">FEBRERO </t>
  </si>
  <si>
    <t>MARZO</t>
  </si>
  <si>
    <t xml:space="preserve">ABRIL </t>
  </si>
  <si>
    <t xml:space="preserve">MAYO </t>
  </si>
  <si>
    <t>JUNIO</t>
  </si>
  <si>
    <t>JULIO</t>
  </si>
  <si>
    <t>ANUAL</t>
  </si>
  <si>
    <t>NOMINA</t>
  </si>
  <si>
    <t>NOMBRE</t>
  </si>
  <si>
    <t>CARGO</t>
  </si>
  <si>
    <t>ALIRIO FINCA</t>
  </si>
  <si>
    <t>ADMINISTRADOR FINCA</t>
  </si>
  <si>
    <t>YELITZA PEÑUELA</t>
  </si>
  <si>
    <t>SECRETARIA GERENCIA</t>
  </si>
  <si>
    <t>WENDYS AMAYA SOTO</t>
  </si>
  <si>
    <t>AUX FONO</t>
  </si>
  <si>
    <t>MIRYAM PINO ROJAS</t>
  </si>
  <si>
    <t>SERVICIOS GENERALES</t>
  </si>
  <si>
    <t xml:space="preserve">WILSON HUARTOS AMAYA </t>
  </si>
  <si>
    <t>OPTOMETRA</t>
  </si>
  <si>
    <t xml:space="preserve">PAULO AVILA </t>
  </si>
  <si>
    <t>AUX LABORATORIO</t>
  </si>
  <si>
    <t>CIELO CUPITRA</t>
  </si>
  <si>
    <t>CONTADORA</t>
  </si>
  <si>
    <t>MARIA CAROLINA GALVIS</t>
  </si>
  <si>
    <t>BACTERIOLOGA</t>
  </si>
  <si>
    <t>CAROLINA CHAPARRO</t>
  </si>
  <si>
    <t>YADIRA SALDARRIAGA</t>
  </si>
  <si>
    <t>FONOAUDIOLOGA</t>
  </si>
  <si>
    <t>MONICA TAPIA</t>
  </si>
  <si>
    <t xml:space="preserve">COMUNITY MANAGER </t>
  </si>
  <si>
    <t>SEGURIDAD SOCIAL</t>
  </si>
  <si>
    <t>PARAFISCALES</t>
  </si>
  <si>
    <t>PLAN COMPLEMENTARIO DRA ANA</t>
  </si>
  <si>
    <t xml:space="preserve">CARLOS ARTURO CUENCA </t>
  </si>
  <si>
    <t>GERENTE COMERCIAL</t>
  </si>
  <si>
    <t>JUAN DAVID CUENCA</t>
  </si>
  <si>
    <t>GERENTE FINANCIERO</t>
  </si>
  <si>
    <t>SALARIO</t>
  </si>
  <si>
    <t>FEBRERO</t>
  </si>
  <si>
    <t>ABRIL</t>
  </si>
  <si>
    <t>MAYO</t>
  </si>
  <si>
    <t>N.A</t>
  </si>
  <si>
    <t xml:space="preserve">DR REINEL </t>
  </si>
  <si>
    <t>MEDICO</t>
  </si>
  <si>
    <t>LABORATORIO</t>
  </si>
  <si>
    <t>NA</t>
  </si>
  <si>
    <t>BANCO</t>
  </si>
  <si>
    <t>FECHA LIMITE DE PAGO</t>
  </si>
  <si>
    <t xml:space="preserve">OBLIGACION </t>
  </si>
  <si>
    <t>TITULAR</t>
  </si>
  <si>
    <t>AV VILLAS</t>
  </si>
  <si>
    <t xml:space="preserve">HIPOTECARIO JUAN </t>
  </si>
  <si>
    <t>CIELO</t>
  </si>
  <si>
    <t>C.CONSUMO</t>
  </si>
  <si>
    <t>PREVENTSALUD IPS</t>
  </si>
  <si>
    <t>COLPATRIA</t>
  </si>
  <si>
    <t>HIPOTECARIO CARLOS</t>
  </si>
  <si>
    <t>CARLOS ARTURO CUENCA CUELLAR</t>
  </si>
  <si>
    <t xml:space="preserve">KAREN </t>
  </si>
  <si>
    <t>PRESTAMO MERCEDEZ</t>
  </si>
  <si>
    <t>CADENA</t>
  </si>
  <si>
    <t>KAREN</t>
  </si>
  <si>
    <t xml:space="preserve">PREVENTSALUD Y ECOBABY </t>
  </si>
  <si>
    <t>SABANAS</t>
  </si>
  <si>
    <t>OSCAR DUSAN</t>
  </si>
  <si>
    <t>TOTAL</t>
  </si>
  <si>
    <t>VALOR CAPITAL</t>
  </si>
  <si>
    <t xml:space="preserve">MONICA ORREGO </t>
  </si>
  <si>
    <t>ACUEDUCTO SABOR ARTESANAL FEBRERO $452200 NEQUI JUAN FEBRERO 23</t>
  </si>
  <si>
    <t>JOHAN FIGUEREDO</t>
  </si>
  <si>
    <t>EMPLEADOS</t>
  </si>
  <si>
    <t>CANTIDAD</t>
  </si>
  <si>
    <t>VALOR MES</t>
  </si>
  <si>
    <t>ADMIN</t>
  </si>
  <si>
    <t>OPERA</t>
  </si>
  <si>
    <t>OTROS</t>
  </si>
  <si>
    <t>QUINCENA 1</t>
  </si>
  <si>
    <t>QUINCENA2</t>
  </si>
  <si>
    <t>MES</t>
  </si>
  <si>
    <t>CUMPLIMIENTO</t>
  </si>
  <si>
    <t>PAGADO</t>
  </si>
  <si>
    <t>PENDIENTE</t>
  </si>
  <si>
    <t>1.600.000</t>
  </si>
  <si>
    <t>SE RECIBE</t>
  </si>
  <si>
    <t xml:space="preserve">DAYANA AUXILIAR COMERCIAL </t>
  </si>
  <si>
    <t xml:space="preserve">TATIANA AUXILIAR </t>
  </si>
  <si>
    <t>CUENTAS TARJETA DE CRTEDITO</t>
  </si>
  <si>
    <t>GASTO</t>
  </si>
  <si>
    <t>TIQUETES CARTAGENA</t>
  </si>
  <si>
    <t>SALIDA</t>
  </si>
  <si>
    <t>INGRESO</t>
  </si>
  <si>
    <t>PAGO NU CARLOS Y JUAN</t>
  </si>
  <si>
    <t>COMPRA TIQUETES ARGENTINA</t>
  </si>
  <si>
    <t>U</t>
  </si>
  <si>
    <t xml:space="preserve">EJECUTIVA COMERCIAL </t>
  </si>
  <si>
    <t xml:space="preserve">AUXILIAR LABORATORIO </t>
  </si>
  <si>
    <t>7AH41tK3</t>
  </si>
  <si>
    <t xml:space="preserve">OSMANI 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</si>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</sst>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rgb="FF00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0000"/>
        <bgColor rgb="FF0000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14" borderId="0" applyNumberFormat="0" applyBorder="0" applyAlignment="0" applyProtection="0"/>
    <xf numFmtId="0" fontId="8" fillId="15" borderId="0" applyNumberFormat="0" applyBorder="0" applyAlignment="0" applyProtection="0"/>
  </cellStyleXfs>
  <cellXfs count="95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4" borderId="8" xfId="0" applyFill="1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4" borderId="10" xfId="0" applyFill="1" applyBorder="1"/>
    <xf numFmtId="0" fontId="0" fillId="0" borderId="10" xfId="0" applyBorder="1" applyAlignment="1">
      <alignment horizontal="center"/>
    </xf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3" fontId="0" fillId="0" borderId="15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0" fillId="6" borderId="19" xfId="0" applyFill="1" applyBorder="1"/>
    <xf numFmtId="0" fontId="0" fillId="6" borderId="20" xfId="0" applyFill="1" applyBorder="1"/>
    <xf numFmtId="0" fontId="0" fillId="6" borderId="9" xfId="0" applyFill="1" applyBorder="1"/>
    <xf numFmtId="0" fontId="0" fillId="6" borderId="10" xfId="0" applyFill="1" applyBorder="1"/>
    <xf numFmtId="3" fontId="1" fillId="5" borderId="3" xfId="0" applyNumberFormat="1" applyFont="1" applyFill="1" applyBorder="1" applyAlignment="1">
      <alignment horizontal="center"/>
    </xf>
    <xf numFmtId="3" fontId="0" fillId="6" borderId="10" xfId="0" applyNumberFormat="1" applyFill="1" applyBorder="1"/>
    <xf numFmtId="3" fontId="0" fillId="0" borderId="10" xfId="0" applyNumberFormat="1" applyBorder="1"/>
    <xf numFmtId="3" fontId="0" fillId="0" borderId="0" xfId="0" applyNumberFormat="1"/>
    <xf numFmtId="3" fontId="0" fillId="7" borderId="10" xfId="0" applyNumberFormat="1" applyFill="1" applyBorder="1"/>
    <xf numFmtId="3" fontId="0" fillId="8" borderId="10" xfId="0" applyNumberFormat="1" applyFill="1" applyBorder="1"/>
    <xf numFmtId="3" fontId="0" fillId="0" borderId="10" xfId="0" applyNumberFormat="1" applyBorder="1" applyAlignment="1">
      <alignment horizontal="center"/>
    </xf>
    <xf numFmtId="3" fontId="1" fillId="3" borderId="16" xfId="0" applyNumberFormat="1" applyFont="1" applyFill="1" applyBorder="1" applyAlignment="1">
      <alignment horizontal="center" vertical="center" wrapText="1"/>
    </xf>
    <xf numFmtId="3" fontId="0" fillId="0" borderId="8" xfId="0" applyNumberFormat="1" applyBorder="1"/>
    <xf numFmtId="3" fontId="0" fillId="9" borderId="10" xfId="0" applyNumberFormat="1" applyFill="1" applyBorder="1" applyAlignment="1">
      <alignment horizontal="center"/>
    </xf>
    <xf numFmtId="3" fontId="0" fillId="0" borderId="10" xfId="0" applyNumberFormat="1" applyBorder="1" applyAlignment="1">
      <alignment horizontal="right"/>
    </xf>
    <xf numFmtId="0" fontId="0" fillId="4" borderId="10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3" xfId="0" applyFill="1" applyBorder="1"/>
    <xf numFmtId="3" fontId="0" fillId="6" borderId="13" xfId="0" applyNumberFormat="1" applyFill="1" applyBorder="1"/>
    <xf numFmtId="0" fontId="1" fillId="6" borderId="4" xfId="0" applyFont="1" applyFill="1" applyBorder="1" applyAlignment="1">
      <alignment horizontal="center"/>
    </xf>
    <xf numFmtId="3" fontId="1" fillId="0" borderId="14" xfId="0" applyNumberFormat="1" applyFont="1" applyBorder="1"/>
    <xf numFmtId="0" fontId="0" fillId="0" borderId="8" xfId="0" applyBorder="1"/>
    <xf numFmtId="3" fontId="0" fillId="0" borderId="8" xfId="0" applyNumberFormat="1" applyBorder="1" applyAlignment="1">
      <alignment horizontal="right"/>
    </xf>
    <xf numFmtId="0" fontId="0" fillId="4" borderId="8" xfId="0" applyFill="1" applyBorder="1" applyAlignment="1">
      <alignment horizontal="center"/>
    </xf>
    <xf numFmtId="3" fontId="0" fillId="7" borderId="8" xfId="0" applyNumberFormat="1" applyFill="1" applyBorder="1"/>
    <xf numFmtId="0" fontId="1" fillId="3" borderId="16" xfId="0" applyFont="1" applyFill="1" applyBorder="1" applyAlignment="1">
      <alignment horizontal="center" vertical="center" wrapText="1"/>
    </xf>
    <xf numFmtId="3" fontId="0" fillId="0" borderId="13" xfId="0" applyNumberFormat="1" applyBorder="1" applyAlignment="1">
      <alignment horizontal="center"/>
    </xf>
    <xf numFmtId="3" fontId="0" fillId="0" borderId="1" xfId="0" applyNumberFormat="1" applyBorder="1"/>
    <xf numFmtId="3" fontId="6" fillId="10" borderId="10" xfId="0" applyNumberFormat="1" applyFont="1" applyFill="1" applyBorder="1" applyAlignment="1">
      <alignment horizontal="center"/>
    </xf>
    <xf numFmtId="3" fontId="0" fillId="7" borderId="10" xfId="0" applyNumberFormat="1" applyFill="1" applyBorder="1" applyAlignment="1">
      <alignment horizontal="center"/>
    </xf>
    <xf numFmtId="0" fontId="0" fillId="4" borderId="0" xfId="0" applyFill="1"/>
    <xf numFmtId="3" fontId="0" fillId="11" borderId="10" xfId="0" applyNumberFormat="1" applyFill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15" fontId="0" fillId="0" borderId="10" xfId="0" applyNumberFormat="1" applyBorder="1" applyAlignment="1">
      <alignment horizontal="left"/>
    </xf>
    <xf numFmtId="3" fontId="6" fillId="13" borderId="10" xfId="0" applyNumberFormat="1" applyFont="1" applyFill="1" applyBorder="1" applyAlignment="1">
      <alignment horizontal="center"/>
    </xf>
    <xf numFmtId="3" fontId="0" fillId="7" borderId="8" xfId="0" applyNumberFormat="1" applyFill="1" applyBorder="1" applyAlignment="1">
      <alignment horizontal="center"/>
    </xf>
    <xf numFmtId="3" fontId="1" fillId="3" borderId="23" xfId="0" applyNumberFormat="1" applyFont="1" applyFill="1" applyBorder="1" applyAlignment="1">
      <alignment horizontal="center" vertical="center" wrapText="1"/>
    </xf>
    <xf numFmtId="3" fontId="1" fillId="3" borderId="24" xfId="0" applyNumberFormat="1" applyFont="1" applyFill="1" applyBorder="1" applyAlignment="1">
      <alignment horizontal="center" vertical="center" wrapText="1"/>
    </xf>
    <xf numFmtId="3" fontId="0" fillId="0" borderId="2" xfId="0" applyNumberFormat="1" applyBorder="1"/>
    <xf numFmtId="3" fontId="0" fillId="0" borderId="4" xfId="0" applyNumberFormat="1" applyBorder="1"/>
    <xf numFmtId="3" fontId="0" fillId="0" borderId="17" xfId="0" applyNumberFormat="1" applyBorder="1"/>
    <xf numFmtId="3" fontId="7" fillId="7" borderId="25" xfId="1" applyNumberFormat="1" applyFill="1" applyBorder="1"/>
    <xf numFmtId="0" fontId="8" fillId="15" borderId="10" xfId="2" applyBorder="1" applyAlignment="1">
      <alignment horizontal="center"/>
    </xf>
    <xf numFmtId="3" fontId="6" fillId="7" borderId="10" xfId="0" applyNumberFormat="1" applyFont="1" applyFill="1" applyBorder="1" applyAlignment="1">
      <alignment horizontal="center"/>
    </xf>
    <xf numFmtId="3" fontId="0" fillId="7" borderId="8" xfId="0" applyNumberFormat="1" applyFill="1" applyBorder="1" applyAlignment="1">
      <alignment horizontal="right"/>
    </xf>
    <xf numFmtId="3" fontId="0" fillId="7" borderId="10" xfId="0" applyNumberFormat="1" applyFill="1" applyBorder="1" applyAlignment="1">
      <alignment horizontal="right"/>
    </xf>
    <xf numFmtId="3" fontId="0" fillId="9" borderId="10" xfId="0" applyNumberFormat="1" applyFill="1" applyBorder="1" applyAlignment="1">
      <alignment horizontal="right"/>
    </xf>
    <xf numFmtId="3" fontId="0" fillId="8" borderId="10" xfId="0" applyNumberFormat="1" applyFill="1" applyBorder="1" applyAlignment="1">
      <alignment horizontal="right"/>
    </xf>
    <xf numFmtId="3" fontId="1" fillId="3" borderId="10" xfId="0" applyNumberFormat="1" applyFont="1" applyFill="1" applyBorder="1" applyAlignment="1">
      <alignment horizontal="center" vertical="center" wrapText="1"/>
    </xf>
    <xf numFmtId="3" fontId="6" fillId="16" borderId="10" xfId="0" applyNumberFormat="1" applyFont="1" applyFill="1" applyBorder="1" applyAlignment="1">
      <alignment horizontal="center"/>
    </xf>
    <xf numFmtId="3" fontId="0" fillId="9" borderId="10" xfId="0" applyNumberFormat="1" applyFill="1" applyBorder="1"/>
    <xf numFmtId="3" fontId="2" fillId="2" borderId="1" xfId="0" applyNumberFormat="1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3" fontId="2" fillId="2" borderId="14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3" fontId="0" fillId="0" borderId="18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3" fontId="1" fillId="0" borderId="21" xfId="0" applyNumberFormat="1" applyFont="1" applyBorder="1" applyAlignment="1">
      <alignment horizontal="center"/>
    </xf>
    <xf numFmtId="3" fontId="1" fillId="0" borderId="22" xfId="0" applyNumberFormat="1" applyFont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12" borderId="14" xfId="0" applyFont="1" applyFill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14" xfId="0" applyFont="1" applyFill="1" applyBorder="1" applyAlignment="1">
      <alignment horizontal="center"/>
    </xf>
    <xf numFmtId="3" fontId="1" fillId="3" borderId="26" xfId="0" applyNumberFormat="1" applyFont="1" applyFill="1" applyBorder="1" applyAlignment="1">
      <alignment horizontal="center" vertical="center" wrapText="1"/>
    </xf>
    <xf numFmtId="3" fontId="0" fillId="7" borderId="15" xfId="0" applyNumberFormat="1" applyFill="1" applyBorder="1"/>
    <xf numFmtId="3" fontId="0" fillId="0" borderId="6" xfId="0" applyNumberFormat="1" applyBorder="1"/>
    <xf numFmtId="3" fontId="0" fillId="7" borderId="6" xfId="0" applyNumberFormat="1" applyFill="1" applyBorder="1"/>
    <xf numFmtId="3" fontId="0" fillId="8" borderId="6" xfId="0" applyNumberFormat="1" applyFill="1" applyBorder="1"/>
    <xf numFmtId="3" fontId="0" fillId="9" borderId="6" xfId="0" applyNumberFormat="1" applyFill="1" applyBorder="1" applyAlignment="1">
      <alignment horizontal="right"/>
    </xf>
  </cellXfs>
  <cellStyles count="3">
    <cellStyle name="Bueno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F98A-FC8B-3F42-91C6-DA6513DD29ED}">
  <dimension ref="A1:M33"/>
  <sheetViews>
    <sheetView tabSelected="1" zoomScale="214" workbookViewId="0">
      <pane xSplit="3" ySplit="1" topLeftCell="E2" activePane="bottomRight" state="frozen"/>
      <selection pane="topRight" activeCell="D1" sqref="D1"/>
      <selection pane="bottomLeft" activeCell="A2" sqref="A2"/>
      <selection pane="bottomRight" activeCell="L14" sqref="L14"/>
    </sheetView>
  </sheetViews>
  <sheetFormatPr baseColWidth="10" defaultRowHeight="16" x14ac:dyDescent="0.2"/>
  <cols>
    <col min="1" max="1" width="11" bestFit="1" customWidth="1"/>
    <col min="2" max="2" width="32.33203125" customWidth="1"/>
    <col min="3" max="3" width="11" bestFit="1" customWidth="1"/>
    <col min="4" max="4" width="16.6640625" customWidth="1"/>
    <col min="5" max="5" width="14.6640625" customWidth="1"/>
    <col min="6" max="6" width="10.83203125" style="28"/>
    <col min="7" max="7" width="11.1640625" style="28" customWidth="1"/>
    <col min="8" max="12" width="10.83203125" style="28"/>
  </cols>
  <sheetData>
    <row r="1" spans="1:13" ht="20" thickBot="1" x14ac:dyDescent="0.3">
      <c r="A1" s="72" t="s">
        <v>0</v>
      </c>
      <c r="B1" s="73"/>
      <c r="C1" s="73"/>
      <c r="D1" s="73"/>
      <c r="E1" s="74"/>
      <c r="F1" s="78"/>
      <c r="G1" s="78"/>
      <c r="H1" s="78"/>
      <c r="I1" s="78"/>
      <c r="J1" s="78"/>
      <c r="K1" s="78"/>
      <c r="L1" s="78"/>
    </row>
    <row r="2" spans="1:13" ht="35" thickBot="1" x14ac:dyDescent="0.25">
      <c r="A2" s="1" t="s">
        <v>1</v>
      </c>
      <c r="B2" s="2" t="s">
        <v>2</v>
      </c>
      <c r="C2" s="2" t="s">
        <v>3</v>
      </c>
      <c r="D2" s="2" t="s">
        <v>4</v>
      </c>
      <c r="E2" s="16" t="s">
        <v>5</v>
      </c>
      <c r="F2" s="57" t="s">
        <v>28</v>
      </c>
      <c r="G2" s="58" t="s">
        <v>29</v>
      </c>
      <c r="H2" s="58" t="s">
        <v>30</v>
      </c>
      <c r="I2" s="32" t="s">
        <v>31</v>
      </c>
      <c r="J2" s="32" t="s">
        <v>32</v>
      </c>
      <c r="K2" s="32" t="s">
        <v>33</v>
      </c>
      <c r="L2" s="89" t="s">
        <v>34</v>
      </c>
      <c r="M2" s="69" t="s">
        <v>128</v>
      </c>
    </row>
    <row r="3" spans="1:13" x14ac:dyDescent="0.2">
      <c r="A3" s="3">
        <v>4</v>
      </c>
      <c r="B3" s="4" t="s">
        <v>6</v>
      </c>
      <c r="C3" s="5">
        <v>4</v>
      </c>
      <c r="D3" s="6"/>
      <c r="E3" s="17">
        <v>300000</v>
      </c>
      <c r="F3" s="29">
        <v>222000</v>
      </c>
      <c r="G3" s="29">
        <v>436000</v>
      </c>
      <c r="H3" s="29">
        <v>369000</v>
      </c>
      <c r="I3" s="45">
        <v>360000</v>
      </c>
      <c r="J3" s="65">
        <v>336000</v>
      </c>
      <c r="K3" s="45">
        <v>324000</v>
      </c>
      <c r="L3" s="90">
        <v>298500</v>
      </c>
      <c r="M3" s="11"/>
    </row>
    <row r="4" spans="1:13" x14ac:dyDescent="0.2">
      <c r="A4" s="3">
        <v>4</v>
      </c>
      <c r="B4" s="7" t="s">
        <v>7</v>
      </c>
      <c r="C4" s="8">
        <v>3</v>
      </c>
      <c r="D4" s="9"/>
      <c r="E4" s="18">
        <v>263777</v>
      </c>
      <c r="F4" s="29">
        <v>283488</v>
      </c>
      <c r="G4" s="29">
        <v>283488</v>
      </c>
      <c r="H4" s="29">
        <v>283258</v>
      </c>
      <c r="I4" s="29">
        <v>255000</v>
      </c>
      <c r="J4" s="66">
        <v>255584</v>
      </c>
      <c r="K4" s="29">
        <v>255584</v>
      </c>
      <c r="L4" s="91"/>
      <c r="M4" s="11"/>
    </row>
    <row r="5" spans="1:13" x14ac:dyDescent="0.2">
      <c r="A5" s="3">
        <v>5</v>
      </c>
      <c r="B5" s="7" t="s">
        <v>8</v>
      </c>
      <c r="C5" s="8">
        <v>4</v>
      </c>
      <c r="D5" s="63"/>
      <c r="E5" s="18">
        <v>60000</v>
      </c>
      <c r="F5" s="29">
        <v>60000</v>
      </c>
      <c r="G5" s="29">
        <v>60000</v>
      </c>
      <c r="H5" s="29">
        <v>60000</v>
      </c>
      <c r="I5" s="29">
        <v>77500</v>
      </c>
      <c r="J5" s="66">
        <v>86700</v>
      </c>
      <c r="K5" s="29">
        <v>116600</v>
      </c>
      <c r="L5" s="92">
        <v>66000</v>
      </c>
      <c r="M5" s="11"/>
    </row>
    <row r="6" spans="1:13" x14ac:dyDescent="0.2">
      <c r="A6" s="3">
        <v>8</v>
      </c>
      <c r="B6" s="7" t="s">
        <v>9</v>
      </c>
      <c r="C6" s="8">
        <v>9</v>
      </c>
      <c r="D6" s="9"/>
      <c r="E6" s="18">
        <v>6581000</v>
      </c>
      <c r="F6" s="29">
        <v>6581000</v>
      </c>
      <c r="G6" s="29">
        <v>6581000</v>
      </c>
      <c r="H6" s="29">
        <v>6581000</v>
      </c>
      <c r="I6" s="29">
        <v>6581000</v>
      </c>
      <c r="J6" s="66">
        <v>6581000</v>
      </c>
      <c r="K6" s="29">
        <v>6581000</v>
      </c>
      <c r="L6" s="93">
        <v>6581000</v>
      </c>
      <c r="M6" s="11"/>
    </row>
    <row r="7" spans="1:13" x14ac:dyDescent="0.2">
      <c r="A7" s="3">
        <v>12</v>
      </c>
      <c r="B7" s="7" t="s">
        <v>10</v>
      </c>
      <c r="C7" s="8">
        <v>10</v>
      </c>
      <c r="D7" s="9">
        <v>11259090</v>
      </c>
      <c r="E7" s="18">
        <v>290000</v>
      </c>
      <c r="F7" s="34" t="s">
        <v>71</v>
      </c>
      <c r="G7" s="29">
        <v>569370</v>
      </c>
      <c r="H7" s="34" t="s">
        <v>71</v>
      </c>
      <c r="I7" s="29">
        <v>170000</v>
      </c>
      <c r="J7" s="67" t="s">
        <v>71</v>
      </c>
      <c r="K7" s="29">
        <v>182740</v>
      </c>
      <c r="L7" s="94" t="s">
        <v>71</v>
      </c>
      <c r="M7" s="11"/>
    </row>
    <row r="8" spans="1:13" x14ac:dyDescent="0.2">
      <c r="A8" s="3">
        <v>12</v>
      </c>
      <c r="B8" s="7" t="s">
        <v>11</v>
      </c>
      <c r="C8" s="8">
        <v>10</v>
      </c>
      <c r="D8" s="9">
        <v>10013534</v>
      </c>
      <c r="E8" s="18">
        <v>197000</v>
      </c>
      <c r="F8" s="34" t="s">
        <v>71</v>
      </c>
      <c r="G8" s="29">
        <v>279830</v>
      </c>
      <c r="H8" s="34" t="s">
        <v>71</v>
      </c>
      <c r="I8" s="29">
        <v>150900</v>
      </c>
      <c r="J8" s="67" t="s">
        <v>71</v>
      </c>
      <c r="K8" s="29">
        <v>182740</v>
      </c>
      <c r="L8" s="94" t="s">
        <v>71</v>
      </c>
      <c r="M8" s="11"/>
    </row>
    <row r="9" spans="1:13" hidden="1" x14ac:dyDescent="0.2">
      <c r="A9" s="3">
        <v>14</v>
      </c>
      <c r="B9" s="7" t="s">
        <v>12</v>
      </c>
      <c r="C9" s="8">
        <v>4</v>
      </c>
      <c r="D9" s="9"/>
      <c r="E9" s="18">
        <v>57000</v>
      </c>
      <c r="F9" s="29">
        <v>57000</v>
      </c>
      <c r="G9" s="29">
        <v>57000</v>
      </c>
      <c r="H9" s="30">
        <v>57000</v>
      </c>
      <c r="I9" s="30">
        <v>57000</v>
      </c>
      <c r="J9" s="68">
        <v>57000</v>
      </c>
      <c r="K9" s="30">
        <v>57000</v>
      </c>
      <c r="L9" s="91"/>
      <c r="M9" s="11"/>
    </row>
    <row r="10" spans="1:13" x14ac:dyDescent="0.2">
      <c r="A10" s="3">
        <v>15</v>
      </c>
      <c r="B10" s="7" t="s">
        <v>13</v>
      </c>
      <c r="C10" s="8">
        <v>15</v>
      </c>
      <c r="D10" s="9">
        <v>23814213</v>
      </c>
      <c r="E10" s="18">
        <v>75500</v>
      </c>
      <c r="F10" s="29">
        <v>75500</v>
      </c>
      <c r="G10" s="29">
        <v>79013</v>
      </c>
      <c r="H10" s="29">
        <v>79132</v>
      </c>
      <c r="I10" s="29">
        <v>79000</v>
      </c>
      <c r="J10" s="66">
        <v>-119</v>
      </c>
      <c r="K10" s="29">
        <v>78894</v>
      </c>
      <c r="L10" s="91">
        <v>90040</v>
      </c>
      <c r="M10" s="11"/>
    </row>
    <row r="11" spans="1:13" x14ac:dyDescent="0.2">
      <c r="A11" s="3">
        <v>17</v>
      </c>
      <c r="B11" s="7" t="s">
        <v>14</v>
      </c>
      <c r="C11" s="8">
        <v>17</v>
      </c>
      <c r="D11" s="9" t="s">
        <v>15</v>
      </c>
      <c r="E11" s="18">
        <v>155000</v>
      </c>
      <c r="F11" s="29">
        <v>178650</v>
      </c>
      <c r="G11" s="29">
        <v>187650</v>
      </c>
      <c r="H11" s="29">
        <v>188900</v>
      </c>
      <c r="I11" s="29">
        <v>201120</v>
      </c>
      <c r="J11" s="66">
        <v>291090</v>
      </c>
      <c r="K11" s="29">
        <v>290650</v>
      </c>
      <c r="L11" s="91">
        <v>310100</v>
      </c>
      <c r="M11" s="11"/>
    </row>
    <row r="12" spans="1:13" x14ac:dyDescent="0.2">
      <c r="A12" s="3">
        <v>17</v>
      </c>
      <c r="B12" s="7" t="s">
        <v>16</v>
      </c>
      <c r="C12" s="8">
        <v>17</v>
      </c>
      <c r="D12" s="9" t="s">
        <v>17</v>
      </c>
      <c r="E12" s="18">
        <v>480000</v>
      </c>
      <c r="F12" s="29">
        <v>426390</v>
      </c>
      <c r="G12" s="29">
        <v>426390</v>
      </c>
      <c r="H12" s="29">
        <v>492460</v>
      </c>
      <c r="I12" s="29">
        <v>409650</v>
      </c>
      <c r="J12" s="66">
        <v>456390</v>
      </c>
      <c r="K12" s="29">
        <v>452420</v>
      </c>
      <c r="L12" s="91">
        <v>470880</v>
      </c>
      <c r="M12" s="11"/>
    </row>
    <row r="13" spans="1:13" x14ac:dyDescent="0.2">
      <c r="A13" s="3">
        <v>22</v>
      </c>
      <c r="B13" s="7" t="s">
        <v>18</v>
      </c>
      <c r="C13" s="8">
        <v>22</v>
      </c>
      <c r="D13" s="9">
        <v>12054909963</v>
      </c>
      <c r="E13" s="18">
        <v>105000</v>
      </c>
      <c r="F13" s="29">
        <v>241740</v>
      </c>
      <c r="G13" s="29">
        <v>149840</v>
      </c>
      <c r="H13" s="29">
        <v>133800</v>
      </c>
      <c r="I13" s="29">
        <v>133800</v>
      </c>
      <c r="J13" s="66">
        <v>133800</v>
      </c>
      <c r="K13" s="29">
        <v>135710</v>
      </c>
      <c r="L13" s="93">
        <v>135440</v>
      </c>
      <c r="M13" s="11"/>
    </row>
    <row r="14" spans="1:13" x14ac:dyDescent="0.2">
      <c r="A14" s="3">
        <v>22</v>
      </c>
      <c r="B14" s="7" t="s">
        <v>19</v>
      </c>
      <c r="C14" s="8">
        <v>22</v>
      </c>
      <c r="D14" s="9">
        <v>63619727</v>
      </c>
      <c r="E14" s="18">
        <v>80000</v>
      </c>
      <c r="F14" s="29">
        <v>65500</v>
      </c>
      <c r="G14" s="29">
        <v>65420</v>
      </c>
      <c r="H14" s="29">
        <v>53000</v>
      </c>
      <c r="I14" s="29">
        <v>119000</v>
      </c>
      <c r="J14" s="66">
        <v>43100</v>
      </c>
      <c r="K14" s="29">
        <v>39290</v>
      </c>
      <c r="L14" s="91">
        <v>55280</v>
      </c>
      <c r="M14" s="11"/>
    </row>
    <row r="15" spans="1:13" x14ac:dyDescent="0.2">
      <c r="A15" s="10"/>
      <c r="B15" s="7" t="s">
        <v>20</v>
      </c>
      <c r="C15" s="8">
        <v>27</v>
      </c>
      <c r="D15" s="9">
        <v>3155885312</v>
      </c>
      <c r="E15" s="18">
        <v>55000</v>
      </c>
      <c r="F15" s="29">
        <v>55912</v>
      </c>
      <c r="G15" s="29">
        <v>55912</v>
      </c>
      <c r="H15" s="29">
        <v>53900</v>
      </c>
      <c r="I15" s="29">
        <v>54221</v>
      </c>
      <c r="J15" s="66">
        <v>53900</v>
      </c>
      <c r="K15" s="29">
        <v>53900</v>
      </c>
      <c r="L15" s="92">
        <v>54216</v>
      </c>
      <c r="M15" s="11"/>
    </row>
    <row r="16" spans="1:13" x14ac:dyDescent="0.2">
      <c r="A16" s="10"/>
      <c r="B16" s="7" t="s">
        <v>21</v>
      </c>
      <c r="C16" s="8">
        <v>24</v>
      </c>
      <c r="D16" s="9">
        <v>3024142802</v>
      </c>
      <c r="E16" s="18">
        <v>46000</v>
      </c>
      <c r="F16" s="29">
        <v>46000</v>
      </c>
      <c r="G16" s="29">
        <v>46000</v>
      </c>
      <c r="H16" s="29">
        <v>54374</v>
      </c>
      <c r="I16" s="29">
        <v>54000</v>
      </c>
      <c r="J16" s="66">
        <v>109645</v>
      </c>
      <c r="K16" s="29">
        <v>0</v>
      </c>
      <c r="L16" s="92">
        <v>48381</v>
      </c>
      <c r="M16" s="11"/>
    </row>
    <row r="17" spans="1:13" x14ac:dyDescent="0.2">
      <c r="A17" s="10"/>
      <c r="B17" s="7" t="s">
        <v>22</v>
      </c>
      <c r="C17" s="8">
        <v>5</v>
      </c>
      <c r="D17" s="9">
        <v>3182917096</v>
      </c>
      <c r="E17" s="18">
        <v>44000</v>
      </c>
      <c r="F17" s="29">
        <v>43900</v>
      </c>
      <c r="G17" s="29">
        <v>43900</v>
      </c>
      <c r="H17" s="34" t="s">
        <v>71</v>
      </c>
      <c r="I17" s="34" t="s">
        <v>71</v>
      </c>
      <c r="J17" s="67" t="s">
        <v>71</v>
      </c>
      <c r="K17" s="67" t="s">
        <v>71</v>
      </c>
      <c r="L17" s="94" t="s">
        <v>71</v>
      </c>
      <c r="M17" s="11"/>
    </row>
    <row r="18" spans="1:13" x14ac:dyDescent="0.2">
      <c r="A18" s="10"/>
      <c r="B18" s="7" t="s">
        <v>23</v>
      </c>
      <c r="C18" s="8">
        <v>9</v>
      </c>
      <c r="D18" s="9">
        <v>3019689636</v>
      </c>
      <c r="E18" s="18">
        <v>45000</v>
      </c>
      <c r="F18" s="29">
        <v>45201</v>
      </c>
      <c r="G18" s="29">
        <v>45201</v>
      </c>
      <c r="H18" s="29">
        <v>45000</v>
      </c>
      <c r="I18" s="29">
        <v>45000</v>
      </c>
      <c r="J18" s="67" t="s">
        <v>71</v>
      </c>
      <c r="K18" s="67" t="s">
        <v>71</v>
      </c>
      <c r="L18" s="94" t="s">
        <v>71</v>
      </c>
      <c r="M18" s="11"/>
    </row>
    <row r="19" spans="1:13" x14ac:dyDescent="0.2">
      <c r="A19" s="12"/>
      <c r="B19" s="7" t="s">
        <v>24</v>
      </c>
      <c r="C19" s="11" t="s">
        <v>35</v>
      </c>
      <c r="D19" s="11"/>
      <c r="E19" s="18"/>
      <c r="F19" s="27"/>
      <c r="G19" s="27"/>
      <c r="H19" s="27"/>
      <c r="I19" s="27"/>
      <c r="J19" s="27"/>
      <c r="K19" s="27"/>
      <c r="L19" s="27"/>
    </row>
    <row r="20" spans="1:13" x14ac:dyDescent="0.2">
      <c r="B20" s="7" t="s">
        <v>25</v>
      </c>
      <c r="C20" s="11" t="s">
        <v>35</v>
      </c>
      <c r="D20" s="11"/>
      <c r="E20" s="18"/>
      <c r="F20" s="27"/>
      <c r="G20" s="27"/>
      <c r="H20" s="27"/>
      <c r="I20" s="27"/>
      <c r="J20" s="27"/>
      <c r="K20" s="27"/>
      <c r="L20" s="27"/>
    </row>
    <row r="21" spans="1:13" ht="17" thickBot="1" x14ac:dyDescent="0.25">
      <c r="B21" s="13" t="s">
        <v>26</v>
      </c>
      <c r="C21" s="14"/>
      <c r="D21" s="14"/>
      <c r="E21" s="19"/>
      <c r="F21" s="27"/>
      <c r="G21" s="27"/>
      <c r="H21" s="27"/>
      <c r="I21" s="27"/>
      <c r="J21" s="27"/>
      <c r="K21" s="27"/>
      <c r="L21" s="27"/>
    </row>
    <row r="22" spans="1:13" ht="22" thickBot="1" x14ac:dyDescent="0.25">
      <c r="A22" s="15"/>
      <c r="B22" s="75" t="s">
        <v>27</v>
      </c>
      <c r="C22" s="76"/>
      <c r="D22" s="77"/>
      <c r="E22" s="15" t="e">
        <f ca="1">SUMA(E3:E19)</f>
        <v>#NAME?</v>
      </c>
      <c r="F22" s="27">
        <v>8382000</v>
      </c>
      <c r="G22" s="27" t="e">
        <f ca="1">SUMA(G3:G21)</f>
        <v>#NAME?</v>
      </c>
      <c r="H22" s="27">
        <f>SUM(H3:H21)</f>
        <v>8450824</v>
      </c>
      <c r="I22" s="27">
        <f>SUM(I3:I21)</f>
        <v>8747191</v>
      </c>
      <c r="J22" s="27"/>
      <c r="K22" s="27"/>
      <c r="L22" s="27"/>
    </row>
    <row r="33" spans="2:2" x14ac:dyDescent="0.2">
      <c r="B33" t="s">
        <v>98</v>
      </c>
    </row>
  </sheetData>
  <mergeCells count="3">
    <mergeCell ref="A1:E1"/>
    <mergeCell ref="B22:D22"/>
    <mergeCell ref="F1:L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6190-9177-B144-A6D0-FB6ACA92FF31}">
  <dimension ref="A1:L10"/>
  <sheetViews>
    <sheetView topLeftCell="E1" zoomScale="241" workbookViewId="0">
      <selection activeCell="L8" sqref="L8"/>
    </sheetView>
  </sheetViews>
  <sheetFormatPr baseColWidth="10" defaultRowHeight="16" x14ac:dyDescent="0.2"/>
  <cols>
    <col min="1" max="1" width="20.1640625" bestFit="1" customWidth="1"/>
    <col min="2" max="2" width="12.33203125" style="28" customWidth="1"/>
    <col min="3" max="3" width="8.5" customWidth="1"/>
    <col min="4" max="4" width="22.1640625" customWidth="1"/>
    <col min="5" max="5" width="31.33203125" bestFit="1" customWidth="1"/>
    <col min="6" max="12" width="10.83203125" style="28"/>
  </cols>
  <sheetData>
    <row r="1" spans="1:12" ht="69" thickBot="1" x14ac:dyDescent="0.25">
      <c r="A1" s="2" t="s">
        <v>76</v>
      </c>
      <c r="B1" s="32" t="s">
        <v>96</v>
      </c>
      <c r="C1" s="46" t="s">
        <v>77</v>
      </c>
      <c r="D1" s="46" t="s">
        <v>78</v>
      </c>
      <c r="E1" s="46" t="s">
        <v>79</v>
      </c>
      <c r="F1" s="32" t="s">
        <v>28</v>
      </c>
      <c r="G1" s="32" t="s">
        <v>29</v>
      </c>
      <c r="H1" s="32" t="s">
        <v>30</v>
      </c>
      <c r="I1" s="32" t="s">
        <v>31</v>
      </c>
      <c r="J1" s="32" t="s">
        <v>32</v>
      </c>
      <c r="K1" s="69" t="s">
        <v>33</v>
      </c>
      <c r="L1" s="69" t="s">
        <v>34</v>
      </c>
    </row>
    <row r="2" spans="1:12" x14ac:dyDescent="0.2">
      <c r="A2" s="42" t="s">
        <v>80</v>
      </c>
      <c r="B2" s="43">
        <v>2400000</v>
      </c>
      <c r="C2" s="44">
        <v>2</v>
      </c>
      <c r="D2" s="42" t="s">
        <v>81</v>
      </c>
      <c r="E2" s="42" t="s">
        <v>65</v>
      </c>
      <c r="F2" s="45">
        <v>2420000</v>
      </c>
      <c r="G2" s="45">
        <v>2420000</v>
      </c>
      <c r="H2" s="45">
        <v>2420000</v>
      </c>
      <c r="I2" s="56">
        <v>2400000</v>
      </c>
      <c r="J2" s="45">
        <v>2420000</v>
      </c>
      <c r="K2" s="29">
        <v>2420000</v>
      </c>
      <c r="L2" s="29">
        <v>2420000</v>
      </c>
    </row>
    <row r="3" spans="1:12" x14ac:dyDescent="0.2">
      <c r="A3" s="11" t="s">
        <v>85</v>
      </c>
      <c r="B3" s="35">
        <v>2660000</v>
      </c>
      <c r="C3" s="36">
        <v>25</v>
      </c>
      <c r="D3" s="11" t="s">
        <v>86</v>
      </c>
      <c r="E3" s="11" t="s">
        <v>87</v>
      </c>
      <c r="F3" s="29">
        <v>2700000</v>
      </c>
      <c r="G3" s="29">
        <v>2700000</v>
      </c>
      <c r="H3" s="29">
        <v>2700000</v>
      </c>
      <c r="I3" s="50">
        <v>2700000</v>
      </c>
      <c r="J3" s="50">
        <v>2700000</v>
      </c>
      <c r="K3" s="30">
        <v>2700000</v>
      </c>
      <c r="L3" s="30">
        <v>2700000</v>
      </c>
    </row>
    <row r="4" spans="1:12" x14ac:dyDescent="0.2">
      <c r="A4" s="11" t="s">
        <v>82</v>
      </c>
      <c r="B4" s="27">
        <v>80000000</v>
      </c>
      <c r="C4" s="36">
        <v>4</v>
      </c>
      <c r="D4" s="11" t="s">
        <v>83</v>
      </c>
      <c r="E4" s="11" t="s">
        <v>84</v>
      </c>
      <c r="F4" s="29">
        <v>2420000</v>
      </c>
      <c r="G4" s="29">
        <v>2420000</v>
      </c>
      <c r="H4" s="29">
        <v>2420000</v>
      </c>
      <c r="I4" s="50">
        <v>2420000</v>
      </c>
      <c r="J4" s="29">
        <v>2420000</v>
      </c>
      <c r="K4" s="29">
        <v>2420000</v>
      </c>
      <c r="L4" s="29">
        <v>2420000</v>
      </c>
    </row>
    <row r="5" spans="1:12" x14ac:dyDescent="0.2">
      <c r="A5" s="11" t="s">
        <v>91</v>
      </c>
      <c r="B5" s="27">
        <v>55000000</v>
      </c>
      <c r="C5" s="36">
        <v>1</v>
      </c>
      <c r="D5" s="11" t="s">
        <v>88</v>
      </c>
      <c r="E5" s="11" t="s">
        <v>84</v>
      </c>
      <c r="F5" s="29">
        <v>1650000</v>
      </c>
      <c r="G5" s="29">
        <v>1650000</v>
      </c>
      <c r="H5" s="29">
        <v>1600000</v>
      </c>
      <c r="I5" s="50" t="s">
        <v>112</v>
      </c>
      <c r="J5" s="29">
        <v>1500000</v>
      </c>
      <c r="K5" s="71">
        <v>1365000</v>
      </c>
      <c r="L5" s="71">
        <v>1365000</v>
      </c>
    </row>
    <row r="6" spans="1:12" x14ac:dyDescent="0.2">
      <c r="A6" s="24" t="s">
        <v>89</v>
      </c>
      <c r="B6" s="27">
        <v>36000000</v>
      </c>
      <c r="C6" s="36">
        <v>30</v>
      </c>
      <c r="D6" s="24" t="s">
        <v>89</v>
      </c>
      <c r="E6" s="11" t="s">
        <v>92</v>
      </c>
      <c r="F6" s="29">
        <v>700000</v>
      </c>
      <c r="G6" s="29">
        <v>700000</v>
      </c>
      <c r="H6" s="29">
        <v>700000</v>
      </c>
      <c r="I6" s="50">
        <v>700000</v>
      </c>
      <c r="J6" s="29">
        <v>700000</v>
      </c>
      <c r="K6" s="29">
        <v>700000</v>
      </c>
      <c r="L6" s="29">
        <v>450000</v>
      </c>
    </row>
    <row r="7" spans="1:12" x14ac:dyDescent="0.2">
      <c r="A7" s="24" t="s">
        <v>90</v>
      </c>
      <c r="B7" s="27">
        <v>7000000</v>
      </c>
      <c r="C7" s="9">
        <v>5</v>
      </c>
      <c r="D7" s="11" t="s">
        <v>93</v>
      </c>
      <c r="E7" s="11" t="s">
        <v>84</v>
      </c>
      <c r="F7" s="31" t="s">
        <v>71</v>
      </c>
      <c r="G7" s="29">
        <v>1000000</v>
      </c>
      <c r="H7" s="29">
        <v>1000000</v>
      </c>
      <c r="I7" s="52" t="s">
        <v>113</v>
      </c>
      <c r="J7" s="29">
        <v>1000000</v>
      </c>
      <c r="K7" s="52" t="s">
        <v>113</v>
      </c>
      <c r="L7" s="29">
        <v>1000000</v>
      </c>
    </row>
    <row r="8" spans="1:12" x14ac:dyDescent="0.2">
      <c r="A8" s="24" t="s">
        <v>90</v>
      </c>
      <c r="B8" s="26">
        <v>7000000</v>
      </c>
      <c r="C8" s="37">
        <v>20</v>
      </c>
      <c r="D8" s="24" t="s">
        <v>93</v>
      </c>
      <c r="E8" s="24" t="s">
        <v>84</v>
      </c>
      <c r="F8" s="29">
        <v>1000000</v>
      </c>
      <c r="G8" s="29">
        <v>1000000</v>
      </c>
      <c r="H8" s="29">
        <v>1000000</v>
      </c>
      <c r="I8" s="50">
        <v>1000000</v>
      </c>
      <c r="J8" s="29">
        <v>1000000</v>
      </c>
      <c r="K8" s="29">
        <v>1000000</v>
      </c>
      <c r="L8" s="27">
        <v>1000000</v>
      </c>
    </row>
    <row r="9" spans="1:12" ht="17" thickBot="1" x14ac:dyDescent="0.25">
      <c r="A9" s="38" t="s">
        <v>94</v>
      </c>
      <c r="B9" s="39">
        <v>37000000</v>
      </c>
      <c r="C9" s="37">
        <v>20</v>
      </c>
      <c r="D9" s="24" t="s">
        <v>94</v>
      </c>
      <c r="E9" s="24" t="s">
        <v>84</v>
      </c>
      <c r="F9" s="47" t="s">
        <v>123</v>
      </c>
      <c r="G9" s="47" t="s">
        <v>71</v>
      </c>
      <c r="H9" s="47" t="s">
        <v>71</v>
      </c>
      <c r="I9" s="47" t="s">
        <v>71</v>
      </c>
      <c r="J9" s="31" t="s">
        <v>71</v>
      </c>
      <c r="K9" s="27">
        <v>40040000</v>
      </c>
      <c r="L9" s="27"/>
    </row>
    <row r="10" spans="1:12" ht="17" thickBot="1" x14ac:dyDescent="0.25">
      <c r="A10" s="40" t="s">
        <v>95</v>
      </c>
      <c r="B10" s="41">
        <f>SUMA(B2:B9)</f>
        <v>227060000</v>
      </c>
      <c r="F10" s="48">
        <v>10820000</v>
      </c>
      <c r="G10" s="59">
        <v>11820000</v>
      </c>
      <c r="H10" s="60">
        <f>SUM(H2:H9)</f>
        <v>11840000</v>
      </c>
      <c r="I10" s="61">
        <f>SUM(I2:I9)</f>
        <v>9220000</v>
      </c>
      <c r="J10" s="28">
        <v>11720000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8D0F-53E6-654C-8061-3C39ADB6317C}">
  <dimension ref="A1:Q24"/>
  <sheetViews>
    <sheetView zoomScale="218" workbookViewId="0">
      <selection activeCell="D2" sqref="D2:K2"/>
    </sheetView>
  </sheetViews>
  <sheetFormatPr baseColWidth="10" defaultRowHeight="16" x14ac:dyDescent="0.2"/>
  <cols>
    <col min="1" max="1" width="29.5" customWidth="1"/>
    <col min="2" max="2" width="22.5" customWidth="1"/>
    <col min="3" max="3" width="10.5" customWidth="1"/>
    <col min="4" max="6" width="10.83203125" style="28" customWidth="1"/>
    <col min="7" max="15" width="10.83203125" style="28"/>
  </cols>
  <sheetData>
    <row r="1" spans="1:17" ht="22" thickBot="1" x14ac:dyDescent="0.3">
      <c r="A1" s="83" t="s">
        <v>36</v>
      </c>
      <c r="B1" s="84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</row>
    <row r="2" spans="1:17" ht="21" customHeight="1" thickBot="1" x14ac:dyDescent="0.25">
      <c r="A2" s="20" t="s">
        <v>37</v>
      </c>
      <c r="B2" s="20" t="s">
        <v>38</v>
      </c>
      <c r="C2" s="25" t="s">
        <v>67</v>
      </c>
      <c r="D2" s="85" t="s">
        <v>28</v>
      </c>
      <c r="E2" s="81"/>
      <c r="F2" s="85" t="s">
        <v>68</v>
      </c>
      <c r="G2" s="82"/>
      <c r="H2" s="85" t="s">
        <v>30</v>
      </c>
      <c r="I2" s="82"/>
      <c r="J2" s="85" t="s">
        <v>69</v>
      </c>
      <c r="K2" s="82"/>
      <c r="L2" s="85" t="s">
        <v>70</v>
      </c>
      <c r="M2" s="82"/>
      <c r="N2" s="81" t="s">
        <v>33</v>
      </c>
      <c r="O2" s="82"/>
      <c r="P2" s="79" t="s">
        <v>34</v>
      </c>
      <c r="Q2" s="80"/>
    </row>
    <row r="3" spans="1:17" x14ac:dyDescent="0.2">
      <c r="A3" s="21" t="s">
        <v>39</v>
      </c>
      <c r="B3" s="22" t="s">
        <v>40</v>
      </c>
      <c r="C3" s="26">
        <v>1750000</v>
      </c>
      <c r="D3" s="29">
        <v>875000</v>
      </c>
      <c r="E3" s="29">
        <v>875000</v>
      </c>
      <c r="F3" s="29">
        <v>875000</v>
      </c>
      <c r="G3" s="29">
        <v>875000</v>
      </c>
      <c r="H3" s="29">
        <v>875000</v>
      </c>
      <c r="I3" s="29">
        <v>875000</v>
      </c>
      <c r="J3" s="29">
        <v>875000</v>
      </c>
      <c r="K3" s="29">
        <v>875000</v>
      </c>
      <c r="L3" s="62">
        <v>875000</v>
      </c>
      <c r="M3" s="29">
        <v>875000</v>
      </c>
      <c r="N3" s="29">
        <v>875000</v>
      </c>
      <c r="O3" s="29">
        <v>875000</v>
      </c>
      <c r="P3" s="29">
        <v>875000</v>
      </c>
      <c r="Q3" s="27">
        <v>875000</v>
      </c>
    </row>
    <row r="4" spans="1:17" x14ac:dyDescent="0.2">
      <c r="A4" s="23" t="s">
        <v>41</v>
      </c>
      <c r="B4" s="24" t="s">
        <v>42</v>
      </c>
      <c r="C4" s="26">
        <v>2000000</v>
      </c>
      <c r="D4" s="29">
        <v>855000</v>
      </c>
      <c r="E4" s="29">
        <v>1000000</v>
      </c>
      <c r="F4" s="29">
        <v>1000000</v>
      </c>
      <c r="G4" s="29">
        <v>1000000</v>
      </c>
      <c r="H4" s="29">
        <v>1000000</v>
      </c>
      <c r="I4" s="29">
        <v>1000000</v>
      </c>
      <c r="J4" s="29">
        <v>1000000</v>
      </c>
      <c r="K4" s="29">
        <v>1000000</v>
      </c>
      <c r="L4" s="29">
        <v>1000000</v>
      </c>
      <c r="M4" s="29">
        <v>1000000</v>
      </c>
      <c r="N4" s="29">
        <v>1000000</v>
      </c>
      <c r="O4" s="29">
        <v>1000000</v>
      </c>
      <c r="P4" s="29">
        <v>1000000</v>
      </c>
      <c r="Q4" s="27">
        <v>1000000</v>
      </c>
    </row>
    <row r="5" spans="1:17" x14ac:dyDescent="0.2">
      <c r="A5" s="23" t="s">
        <v>127</v>
      </c>
      <c r="B5" s="24" t="s">
        <v>73</v>
      </c>
      <c r="C5" s="26"/>
      <c r="D5" s="34" t="s">
        <v>75</v>
      </c>
      <c r="E5" s="34" t="s">
        <v>75</v>
      </c>
      <c r="F5" s="34" t="s">
        <v>75</v>
      </c>
      <c r="G5" s="34" t="s">
        <v>75</v>
      </c>
      <c r="H5" s="34" t="s">
        <v>75</v>
      </c>
      <c r="I5" s="34" t="s">
        <v>75</v>
      </c>
      <c r="J5" s="34" t="s">
        <v>75</v>
      </c>
      <c r="K5" s="34" t="s">
        <v>75</v>
      </c>
      <c r="L5" s="29">
        <v>1150000</v>
      </c>
      <c r="M5" s="29">
        <v>1150000</v>
      </c>
      <c r="N5" s="29">
        <v>1150000</v>
      </c>
      <c r="O5" s="29">
        <v>1150000</v>
      </c>
      <c r="P5" s="29">
        <v>1150000</v>
      </c>
      <c r="Q5" s="27">
        <v>1150000</v>
      </c>
    </row>
    <row r="6" spans="1:17" x14ac:dyDescent="0.2">
      <c r="A6" s="23" t="s">
        <v>43</v>
      </c>
      <c r="B6" s="24" t="s">
        <v>44</v>
      </c>
      <c r="C6" s="26">
        <v>2000000</v>
      </c>
      <c r="D6" s="29">
        <v>850000</v>
      </c>
      <c r="E6" s="29">
        <v>1000000</v>
      </c>
      <c r="F6" s="29">
        <v>1000000</v>
      </c>
      <c r="G6" s="29">
        <v>1000000</v>
      </c>
      <c r="H6" s="29">
        <v>1000000</v>
      </c>
      <c r="I6" s="29">
        <v>1000000</v>
      </c>
      <c r="J6" s="29">
        <v>1000000</v>
      </c>
      <c r="K6" s="29">
        <v>1000000</v>
      </c>
      <c r="L6" s="29">
        <v>1000000</v>
      </c>
      <c r="M6" s="29">
        <v>1000000</v>
      </c>
      <c r="N6" s="29">
        <v>1000000</v>
      </c>
      <c r="O6" s="29">
        <v>1000000</v>
      </c>
      <c r="P6" s="29">
        <v>1000000</v>
      </c>
      <c r="Q6" s="27">
        <v>1000000</v>
      </c>
    </row>
    <row r="7" spans="1:17" hidden="1" x14ac:dyDescent="0.2">
      <c r="A7" s="23" t="s">
        <v>72</v>
      </c>
      <c r="B7" s="24" t="s">
        <v>73</v>
      </c>
      <c r="C7" s="26">
        <v>2000000</v>
      </c>
      <c r="D7" s="34" t="s">
        <v>75</v>
      </c>
      <c r="E7" s="29">
        <v>1000000</v>
      </c>
      <c r="F7" s="29">
        <v>1000000</v>
      </c>
      <c r="G7" s="29"/>
      <c r="H7" s="27"/>
      <c r="I7" s="27"/>
      <c r="J7" s="29"/>
      <c r="K7" s="27"/>
      <c r="L7" s="29">
        <v>1000000</v>
      </c>
      <c r="M7" s="27"/>
      <c r="N7" s="29"/>
      <c r="O7" s="29"/>
      <c r="P7" s="29"/>
      <c r="Q7" s="27"/>
    </row>
    <row r="8" spans="1:17" x14ac:dyDescent="0.2">
      <c r="A8" s="23" t="s">
        <v>97</v>
      </c>
      <c r="B8" s="24" t="s">
        <v>74</v>
      </c>
      <c r="C8" s="26">
        <v>2000000</v>
      </c>
      <c r="D8" s="34" t="s">
        <v>75</v>
      </c>
      <c r="E8" s="29">
        <v>160000</v>
      </c>
      <c r="F8" s="29">
        <v>1000000</v>
      </c>
      <c r="G8" s="29">
        <v>1000000</v>
      </c>
      <c r="H8" s="29">
        <v>1000000</v>
      </c>
      <c r="I8" s="29">
        <v>1000000</v>
      </c>
      <c r="J8" s="29">
        <v>1000000</v>
      </c>
      <c r="K8" s="29">
        <v>1000000</v>
      </c>
      <c r="L8" s="29">
        <v>1000000</v>
      </c>
      <c r="M8" s="29">
        <v>1000000</v>
      </c>
      <c r="N8" s="29">
        <v>1000000</v>
      </c>
      <c r="O8" s="29">
        <v>1000000</v>
      </c>
      <c r="P8" s="29">
        <v>1000000</v>
      </c>
      <c r="Q8" s="27">
        <v>1000000</v>
      </c>
    </row>
    <row r="9" spans="1:17" x14ac:dyDescent="0.2">
      <c r="A9" s="23" t="s">
        <v>97</v>
      </c>
      <c r="B9" s="24" t="s">
        <v>60</v>
      </c>
      <c r="C9" s="26">
        <v>150000</v>
      </c>
      <c r="D9" s="34" t="s">
        <v>75</v>
      </c>
      <c r="E9" s="34" t="s">
        <v>75</v>
      </c>
      <c r="F9" s="29">
        <v>150000</v>
      </c>
      <c r="G9" s="34" t="s">
        <v>75</v>
      </c>
      <c r="H9" s="29">
        <v>149000</v>
      </c>
      <c r="I9" s="49" t="s">
        <v>75</v>
      </c>
      <c r="J9" s="29">
        <v>149000</v>
      </c>
      <c r="K9" s="49" t="s">
        <v>75</v>
      </c>
      <c r="L9" s="29">
        <v>149000</v>
      </c>
      <c r="M9" s="29">
        <v>149000</v>
      </c>
      <c r="N9" s="29">
        <v>149000</v>
      </c>
      <c r="O9" s="29">
        <v>149000</v>
      </c>
      <c r="P9" s="29">
        <v>149000</v>
      </c>
      <c r="Q9" s="27">
        <v>149000</v>
      </c>
    </row>
    <row r="10" spans="1:17" hidden="1" x14ac:dyDescent="0.2">
      <c r="A10" s="23" t="s">
        <v>99</v>
      </c>
      <c r="B10" s="24" t="s">
        <v>73</v>
      </c>
      <c r="C10" s="26">
        <v>2200000</v>
      </c>
      <c r="D10" s="34" t="s">
        <v>75</v>
      </c>
      <c r="E10" s="34" t="s">
        <v>75</v>
      </c>
      <c r="F10" s="34" t="s">
        <v>75</v>
      </c>
      <c r="G10" s="50">
        <v>1100000</v>
      </c>
      <c r="H10" s="29">
        <v>1100000</v>
      </c>
      <c r="I10" s="55">
        <v>1100000</v>
      </c>
      <c r="J10" s="29">
        <v>1000000</v>
      </c>
      <c r="K10" s="49"/>
      <c r="L10" s="27"/>
      <c r="M10" s="27"/>
      <c r="N10" s="29"/>
      <c r="O10" s="29"/>
      <c r="P10" s="29"/>
      <c r="Q10" s="27"/>
    </row>
    <row r="11" spans="1:17" x14ac:dyDescent="0.2">
      <c r="A11" s="23" t="s">
        <v>114</v>
      </c>
      <c r="B11" s="24" t="s">
        <v>124</v>
      </c>
      <c r="C11" s="26"/>
      <c r="D11" s="34" t="s">
        <v>75</v>
      </c>
      <c r="E11" s="34" t="s">
        <v>75</v>
      </c>
      <c r="F11" s="50">
        <v>1000000</v>
      </c>
      <c r="G11" s="50">
        <v>1000000</v>
      </c>
      <c r="H11" s="50">
        <v>1000000</v>
      </c>
      <c r="I11" s="50">
        <v>1000000</v>
      </c>
      <c r="J11" s="29">
        <v>1000000</v>
      </c>
      <c r="K11" s="55">
        <v>1000000</v>
      </c>
      <c r="L11" s="29">
        <v>1000000</v>
      </c>
      <c r="M11" s="29">
        <v>1000000</v>
      </c>
      <c r="N11" s="29">
        <v>1000000</v>
      </c>
      <c r="O11" s="29">
        <v>1000000</v>
      </c>
      <c r="P11" s="29">
        <v>1000000</v>
      </c>
      <c r="Q11" s="27">
        <v>1000000</v>
      </c>
    </row>
    <row r="12" spans="1:17" x14ac:dyDescent="0.2">
      <c r="A12" s="23" t="s">
        <v>115</v>
      </c>
      <c r="B12" s="24" t="s">
        <v>125</v>
      </c>
      <c r="C12" s="26"/>
      <c r="D12" s="34" t="s">
        <v>75</v>
      </c>
      <c r="E12" s="34" t="s">
        <v>75</v>
      </c>
      <c r="F12" s="34" t="s">
        <v>75</v>
      </c>
      <c r="G12" s="34" t="s">
        <v>75</v>
      </c>
      <c r="H12" s="50">
        <v>600000</v>
      </c>
      <c r="I12" s="50">
        <v>720000</v>
      </c>
      <c r="J12" s="29">
        <v>720000</v>
      </c>
      <c r="K12" s="55">
        <v>720000</v>
      </c>
      <c r="L12" s="55">
        <v>720000</v>
      </c>
      <c r="M12" s="29">
        <v>1000000</v>
      </c>
      <c r="N12" s="29">
        <v>1000000</v>
      </c>
      <c r="O12" s="29">
        <v>1000000</v>
      </c>
      <c r="P12" s="29">
        <v>1000000</v>
      </c>
      <c r="Q12" s="27">
        <v>1000000</v>
      </c>
    </row>
    <row r="13" spans="1:17" x14ac:dyDescent="0.2">
      <c r="A13" s="23" t="s">
        <v>45</v>
      </c>
      <c r="B13" s="24" t="s">
        <v>46</v>
      </c>
      <c r="C13" s="26">
        <v>2000000</v>
      </c>
      <c r="D13" s="29">
        <v>1000000</v>
      </c>
      <c r="E13" s="29">
        <v>1000000</v>
      </c>
      <c r="F13" s="29">
        <v>1000000</v>
      </c>
      <c r="G13" s="29">
        <v>1000000</v>
      </c>
      <c r="H13" s="29">
        <v>1000000</v>
      </c>
      <c r="I13" s="29">
        <v>1000000</v>
      </c>
      <c r="J13" s="29">
        <v>1000000</v>
      </c>
      <c r="K13" s="29">
        <v>1000000</v>
      </c>
      <c r="L13" s="55">
        <v>1000000</v>
      </c>
      <c r="M13" s="29">
        <v>1000000</v>
      </c>
      <c r="N13" s="29">
        <v>1000000</v>
      </c>
      <c r="O13" s="29">
        <v>1000000</v>
      </c>
      <c r="P13" s="29">
        <v>1000000</v>
      </c>
      <c r="Q13" s="27">
        <v>1000000</v>
      </c>
    </row>
    <row r="14" spans="1:17" x14ac:dyDescent="0.2">
      <c r="A14" s="23" t="s">
        <v>47</v>
      </c>
      <c r="B14" s="24" t="s">
        <v>48</v>
      </c>
      <c r="C14" s="26">
        <v>1300000</v>
      </c>
      <c r="D14" s="29">
        <v>507000</v>
      </c>
      <c r="E14" s="29">
        <v>700000</v>
      </c>
      <c r="F14" s="29">
        <v>700000</v>
      </c>
      <c r="G14" s="29">
        <v>720000</v>
      </c>
      <c r="H14" s="29">
        <v>608000</v>
      </c>
      <c r="I14" s="29">
        <v>736000</v>
      </c>
      <c r="J14" s="29">
        <v>720000</v>
      </c>
      <c r="K14" s="29">
        <v>720000</v>
      </c>
      <c r="L14" s="55">
        <v>697000</v>
      </c>
      <c r="M14" s="29">
        <v>747000</v>
      </c>
      <c r="N14" s="29">
        <v>740000</v>
      </c>
      <c r="O14" s="29">
        <v>740000</v>
      </c>
      <c r="P14" s="29">
        <v>740000</v>
      </c>
      <c r="Q14" s="27">
        <v>740000</v>
      </c>
    </row>
    <row r="15" spans="1:17" hidden="1" x14ac:dyDescent="0.2">
      <c r="A15" s="11" t="s">
        <v>49</v>
      </c>
      <c r="B15" s="24" t="s">
        <v>50</v>
      </c>
      <c r="C15" s="26">
        <v>1622000</v>
      </c>
      <c r="D15" s="29">
        <v>750000</v>
      </c>
      <c r="E15" s="27"/>
      <c r="F15" s="27"/>
      <c r="G15" s="27"/>
      <c r="H15" s="27"/>
      <c r="I15" s="27"/>
      <c r="J15" s="27"/>
      <c r="K15" s="27"/>
      <c r="L15" s="55">
        <v>720000</v>
      </c>
      <c r="M15" s="27"/>
      <c r="N15" s="27"/>
      <c r="O15" s="27"/>
      <c r="P15" s="11"/>
      <c r="Q15" s="11"/>
    </row>
    <row r="16" spans="1:17" x14ac:dyDescent="0.2">
      <c r="A16" s="24" t="s">
        <v>51</v>
      </c>
      <c r="B16" s="24" t="s">
        <v>52</v>
      </c>
      <c r="C16" s="26">
        <v>450000</v>
      </c>
      <c r="D16" s="30">
        <v>450000</v>
      </c>
      <c r="E16" s="34" t="s">
        <v>71</v>
      </c>
      <c r="F16" s="30">
        <v>450000</v>
      </c>
      <c r="G16" s="34" t="s">
        <v>71</v>
      </c>
      <c r="H16" s="29">
        <v>450000</v>
      </c>
      <c r="I16" s="34" t="s">
        <v>71</v>
      </c>
      <c r="J16" s="29">
        <v>450000</v>
      </c>
      <c r="K16" s="34" t="s">
        <v>75</v>
      </c>
      <c r="L16" s="30">
        <v>450000</v>
      </c>
      <c r="M16" s="34" t="s">
        <v>75</v>
      </c>
      <c r="N16" s="30">
        <v>450000</v>
      </c>
      <c r="O16" s="34" t="s">
        <v>75</v>
      </c>
      <c r="P16" s="34" t="s">
        <v>75</v>
      </c>
      <c r="Q16" s="34" t="s">
        <v>75</v>
      </c>
    </row>
    <row r="17" spans="1:17" x14ac:dyDescent="0.2">
      <c r="A17" s="24" t="s">
        <v>53</v>
      </c>
      <c r="B17" s="24" t="s">
        <v>54</v>
      </c>
      <c r="C17" s="26">
        <v>400000</v>
      </c>
      <c r="D17" s="29">
        <v>400000</v>
      </c>
      <c r="E17" s="34" t="s">
        <v>71</v>
      </c>
      <c r="F17" s="30">
        <v>400000</v>
      </c>
      <c r="G17" s="34" t="s">
        <v>71</v>
      </c>
      <c r="H17" s="30">
        <v>400000</v>
      </c>
      <c r="I17" s="34" t="s">
        <v>71</v>
      </c>
      <c r="J17" s="30">
        <v>400000</v>
      </c>
      <c r="K17" s="34" t="s">
        <v>75</v>
      </c>
      <c r="L17" s="30">
        <v>400000</v>
      </c>
      <c r="M17" s="34" t="s">
        <v>75</v>
      </c>
      <c r="N17" s="30">
        <v>400000</v>
      </c>
      <c r="O17" s="34" t="s">
        <v>75</v>
      </c>
      <c r="P17" s="34" t="s">
        <v>75</v>
      </c>
      <c r="Q17" s="34" t="s">
        <v>75</v>
      </c>
    </row>
    <row r="18" spans="1:17" x14ac:dyDescent="0.2">
      <c r="A18" s="24" t="s">
        <v>55</v>
      </c>
      <c r="B18" s="24" t="s">
        <v>48</v>
      </c>
      <c r="C18" s="26">
        <v>250000</v>
      </c>
      <c r="D18" s="30">
        <v>250000</v>
      </c>
      <c r="E18" s="34" t="s">
        <v>71</v>
      </c>
      <c r="F18" s="30">
        <v>250000</v>
      </c>
      <c r="G18" s="34" t="s">
        <v>75</v>
      </c>
      <c r="H18" s="30">
        <v>250000</v>
      </c>
      <c r="I18" s="34" t="s">
        <v>75</v>
      </c>
      <c r="J18" s="30">
        <v>250000</v>
      </c>
      <c r="K18" s="34" t="s">
        <v>75</v>
      </c>
      <c r="L18" s="30">
        <v>250000</v>
      </c>
      <c r="M18" s="34" t="s">
        <v>75</v>
      </c>
      <c r="N18" s="30">
        <v>250000</v>
      </c>
      <c r="O18" s="34" t="s">
        <v>75</v>
      </c>
      <c r="P18" s="34" t="s">
        <v>75</v>
      </c>
      <c r="Q18" s="34" t="s">
        <v>75</v>
      </c>
    </row>
    <row r="19" spans="1:17" hidden="1" x14ac:dyDescent="0.2">
      <c r="A19" s="24" t="s">
        <v>56</v>
      </c>
      <c r="B19" s="24" t="s">
        <v>57</v>
      </c>
      <c r="C19" s="26">
        <v>300000</v>
      </c>
      <c r="D19" s="29">
        <v>300000</v>
      </c>
      <c r="E19" s="34" t="s">
        <v>71</v>
      </c>
      <c r="F19" s="29">
        <v>300000</v>
      </c>
      <c r="G19" s="29">
        <v>300000</v>
      </c>
      <c r="H19" s="34" t="s">
        <v>71</v>
      </c>
      <c r="I19" s="27"/>
      <c r="J19" s="27"/>
      <c r="K19" s="34" t="s">
        <v>75</v>
      </c>
      <c r="L19" s="55">
        <v>720000</v>
      </c>
      <c r="M19" s="27"/>
      <c r="N19" s="27"/>
      <c r="O19" s="34" t="s">
        <v>75</v>
      </c>
      <c r="P19" s="11"/>
      <c r="Q19" s="34" t="s">
        <v>75</v>
      </c>
    </row>
    <row r="20" spans="1:17" x14ac:dyDescent="0.2">
      <c r="A20" s="24" t="s">
        <v>58</v>
      </c>
      <c r="B20" s="24" t="s">
        <v>59</v>
      </c>
      <c r="C20" s="26">
        <v>500000</v>
      </c>
      <c r="D20" s="29">
        <v>500000</v>
      </c>
      <c r="E20" s="34" t="s">
        <v>71</v>
      </c>
      <c r="F20" s="29">
        <v>500000</v>
      </c>
      <c r="G20" s="34" t="s">
        <v>71</v>
      </c>
      <c r="H20" s="29">
        <v>500000</v>
      </c>
      <c r="I20" s="34" t="s">
        <v>75</v>
      </c>
      <c r="J20" s="29">
        <v>500000</v>
      </c>
      <c r="K20" s="34" t="s">
        <v>75</v>
      </c>
      <c r="L20" s="64">
        <v>500000</v>
      </c>
      <c r="M20" s="34" t="s">
        <v>75</v>
      </c>
      <c r="N20" s="50">
        <v>500000</v>
      </c>
      <c r="O20" s="34" t="s">
        <v>75</v>
      </c>
      <c r="P20" s="50">
        <v>500000</v>
      </c>
      <c r="Q20" s="34" t="s">
        <v>75</v>
      </c>
    </row>
    <row r="21" spans="1:17" x14ac:dyDescent="0.2">
      <c r="A21" s="24" t="s">
        <v>60</v>
      </c>
      <c r="B21" s="24" t="s">
        <v>61</v>
      </c>
      <c r="C21" s="26">
        <v>1874000</v>
      </c>
      <c r="D21" s="29">
        <v>1874000</v>
      </c>
      <c r="E21" s="34" t="s">
        <v>71</v>
      </c>
      <c r="F21" s="29">
        <v>2316100</v>
      </c>
      <c r="G21" s="34" t="s">
        <v>71</v>
      </c>
      <c r="H21" s="29">
        <v>2316000</v>
      </c>
      <c r="I21" s="34" t="s">
        <v>75</v>
      </c>
      <c r="J21" s="29">
        <v>2316000</v>
      </c>
      <c r="K21" s="34" t="s">
        <v>75</v>
      </c>
      <c r="L21" s="55">
        <v>2316000</v>
      </c>
      <c r="M21" s="34" t="s">
        <v>75</v>
      </c>
      <c r="N21" s="55">
        <v>2391800</v>
      </c>
      <c r="O21" s="34" t="s">
        <v>75</v>
      </c>
      <c r="P21" s="70">
        <v>2316000</v>
      </c>
      <c r="Q21" s="34" t="s">
        <v>75</v>
      </c>
    </row>
    <row r="22" spans="1:17" x14ac:dyDescent="0.2">
      <c r="A22" s="24" t="s">
        <v>62</v>
      </c>
      <c r="B22" s="24" t="s">
        <v>61</v>
      </c>
      <c r="C22" s="26">
        <v>250000</v>
      </c>
      <c r="D22" s="29">
        <v>250000</v>
      </c>
      <c r="E22" s="34" t="s">
        <v>71</v>
      </c>
      <c r="F22" s="29">
        <v>250000</v>
      </c>
      <c r="G22" s="34" t="s">
        <v>71</v>
      </c>
      <c r="H22" s="29">
        <v>250000</v>
      </c>
      <c r="I22" s="34" t="s">
        <v>75</v>
      </c>
      <c r="J22" s="34" t="s">
        <v>75</v>
      </c>
      <c r="K22" s="29">
        <v>250000</v>
      </c>
      <c r="L22" s="34" t="s">
        <v>75</v>
      </c>
      <c r="M22" s="29">
        <v>250000</v>
      </c>
      <c r="N22" s="34" t="s">
        <v>75</v>
      </c>
      <c r="O22" s="30">
        <v>250000</v>
      </c>
      <c r="P22" s="34" t="s">
        <v>75</v>
      </c>
      <c r="Q22" s="11">
        <v>250000</v>
      </c>
    </row>
    <row r="23" spans="1:17" x14ac:dyDescent="0.2">
      <c r="A23" s="23" t="s">
        <v>63</v>
      </c>
      <c r="B23" s="24" t="s">
        <v>64</v>
      </c>
      <c r="C23" s="26">
        <v>1300000</v>
      </c>
      <c r="D23" s="29">
        <v>800000</v>
      </c>
      <c r="E23" s="29">
        <v>800000</v>
      </c>
      <c r="F23" s="29">
        <v>800000</v>
      </c>
      <c r="G23" s="29">
        <v>800000</v>
      </c>
      <c r="H23" s="29">
        <v>800000</v>
      </c>
      <c r="I23" s="29">
        <v>800000</v>
      </c>
      <c r="J23" s="29">
        <v>800000</v>
      </c>
      <c r="K23" s="29">
        <v>800000</v>
      </c>
      <c r="L23" s="29">
        <v>800000</v>
      </c>
      <c r="M23" s="29">
        <v>800000</v>
      </c>
      <c r="N23" s="29">
        <v>800000</v>
      </c>
      <c r="O23" s="29">
        <v>800000</v>
      </c>
      <c r="P23" s="29">
        <v>800000</v>
      </c>
      <c r="Q23" s="29">
        <v>800000</v>
      </c>
    </row>
    <row r="24" spans="1:17" x14ac:dyDescent="0.2">
      <c r="A24" s="23" t="s">
        <v>65</v>
      </c>
      <c r="B24" s="24" t="s">
        <v>66</v>
      </c>
      <c r="C24" s="26">
        <v>1600000</v>
      </c>
      <c r="D24" s="29">
        <v>800000</v>
      </c>
      <c r="E24" s="29">
        <v>800000</v>
      </c>
      <c r="F24" s="29">
        <v>800000</v>
      </c>
      <c r="G24" s="29">
        <v>800000</v>
      </c>
      <c r="H24" s="29">
        <v>800000</v>
      </c>
      <c r="I24" s="29">
        <v>800000</v>
      </c>
      <c r="J24" s="29">
        <v>800000</v>
      </c>
      <c r="K24" s="29">
        <v>800000</v>
      </c>
      <c r="L24" s="29">
        <v>800000</v>
      </c>
      <c r="M24" s="29">
        <v>800000</v>
      </c>
      <c r="N24" s="29">
        <v>800000</v>
      </c>
      <c r="O24" s="29">
        <v>800000</v>
      </c>
      <c r="P24" s="29">
        <v>800000</v>
      </c>
      <c r="Q24" s="29">
        <v>800000</v>
      </c>
    </row>
  </sheetData>
  <mergeCells count="9">
    <mergeCell ref="P2:Q2"/>
    <mergeCell ref="N2:O2"/>
    <mergeCell ref="D1:O1"/>
    <mergeCell ref="A1:B1"/>
    <mergeCell ref="D2:E2"/>
    <mergeCell ref="F2:G2"/>
    <mergeCell ref="H2:I2"/>
    <mergeCell ref="J2:K2"/>
    <mergeCell ref="L2:M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42315-61E5-7A4C-A18D-84136B17A5E5}">
  <dimension ref="B3"/>
  <sheetViews>
    <sheetView zoomScale="180" workbookViewId="0">
      <selection activeCell="C10" sqref="C10"/>
    </sheetView>
  </sheetViews>
  <sheetFormatPr baseColWidth="10" defaultRowHeight="16" x14ac:dyDescent="0.2"/>
  <sheetData>
    <row r="3" spans="2:2" x14ac:dyDescent="0.2">
      <c r="B3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43EF-E1A9-0B47-A4D1-6D321E8892A0}">
  <dimension ref="A1:K7"/>
  <sheetViews>
    <sheetView zoomScale="193" workbookViewId="0">
      <selection activeCell="C4" sqref="C4"/>
    </sheetView>
  </sheetViews>
  <sheetFormatPr baseColWidth="10" defaultRowHeight="16" x14ac:dyDescent="0.2"/>
  <sheetData>
    <row r="1" spans="1:11" x14ac:dyDescent="0.2">
      <c r="A1" t="s">
        <v>108</v>
      </c>
      <c r="B1" t="s">
        <v>30</v>
      </c>
      <c r="H1" t="s">
        <v>109</v>
      </c>
    </row>
    <row r="2" spans="1:11" x14ac:dyDescent="0.2">
      <c r="H2" t="s">
        <v>106</v>
      </c>
      <c r="J2" t="s">
        <v>107</v>
      </c>
    </row>
    <row r="3" spans="1:11" x14ac:dyDescent="0.2">
      <c r="B3" t="s">
        <v>101</v>
      </c>
      <c r="C3" t="s">
        <v>102</v>
      </c>
      <c r="E3" t="s">
        <v>106</v>
      </c>
      <c r="F3" t="s">
        <v>107</v>
      </c>
      <c r="H3" t="s">
        <v>110</v>
      </c>
      <c r="I3" t="s">
        <v>111</v>
      </c>
      <c r="J3" t="s">
        <v>110</v>
      </c>
      <c r="K3" t="s">
        <v>111</v>
      </c>
    </row>
    <row r="4" spans="1:11" x14ac:dyDescent="0.2">
      <c r="A4" t="s">
        <v>100</v>
      </c>
      <c r="B4" s="51">
        <v>18</v>
      </c>
      <c r="C4" s="51">
        <v>220000000</v>
      </c>
      <c r="D4" s="51"/>
      <c r="E4" s="51">
        <v>15000000</v>
      </c>
      <c r="F4" s="51">
        <v>7000000</v>
      </c>
      <c r="G4" s="51"/>
      <c r="H4" s="51">
        <v>12000000</v>
      </c>
      <c r="I4" s="51">
        <v>3000000</v>
      </c>
      <c r="J4" s="51">
        <v>6000000</v>
      </c>
      <c r="K4" s="51">
        <v>1000000</v>
      </c>
    </row>
    <row r="5" spans="1:11" x14ac:dyDescent="0.2">
      <c r="A5" t="s">
        <v>103</v>
      </c>
      <c r="B5">
        <v>8</v>
      </c>
      <c r="C5">
        <v>12000000</v>
      </c>
      <c r="E5">
        <v>1000000</v>
      </c>
      <c r="F5">
        <v>4000000</v>
      </c>
      <c r="H5">
        <v>8000000</v>
      </c>
      <c r="I5">
        <v>4000000</v>
      </c>
      <c r="J5">
        <v>4000000</v>
      </c>
      <c r="K5">
        <v>0</v>
      </c>
    </row>
    <row r="6" spans="1:11" x14ac:dyDescent="0.2">
      <c r="A6" t="s">
        <v>104</v>
      </c>
      <c r="B6">
        <v>5</v>
      </c>
      <c r="C6">
        <v>5000000</v>
      </c>
      <c r="E6">
        <v>2500000</v>
      </c>
      <c r="F6">
        <v>1500000</v>
      </c>
      <c r="H6">
        <v>2500000</v>
      </c>
      <c r="I6">
        <v>0</v>
      </c>
      <c r="J6">
        <v>1000000</v>
      </c>
      <c r="K6">
        <v>500000</v>
      </c>
    </row>
    <row r="7" spans="1:11" x14ac:dyDescent="0.2">
      <c r="A7" t="s">
        <v>105</v>
      </c>
      <c r="B7">
        <v>5</v>
      </c>
      <c r="C7">
        <v>5000000</v>
      </c>
      <c r="E7">
        <v>2500000</v>
      </c>
      <c r="F7">
        <v>1500000</v>
      </c>
      <c r="H7">
        <v>2000000</v>
      </c>
      <c r="I7">
        <v>500000</v>
      </c>
      <c r="J7">
        <v>1000000</v>
      </c>
      <c r="K7">
        <v>500000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2CB6-5CDE-8140-9B7E-801AEBBB5E1F}">
  <dimension ref="A1:D10"/>
  <sheetViews>
    <sheetView zoomScale="294" workbookViewId="0">
      <selection activeCell="A6" sqref="A6"/>
    </sheetView>
  </sheetViews>
  <sheetFormatPr baseColWidth="10" defaultRowHeight="16" x14ac:dyDescent="0.2"/>
  <cols>
    <col min="1" max="1" width="14.6640625" customWidth="1"/>
    <col min="2" max="2" width="26.5" customWidth="1"/>
    <col min="3" max="4" width="10.83203125" style="28"/>
  </cols>
  <sheetData>
    <row r="1" spans="1:4" ht="17" thickBot="1" x14ac:dyDescent="0.25">
      <c r="A1" s="86" t="s">
        <v>116</v>
      </c>
      <c r="B1" s="87"/>
      <c r="C1" s="87"/>
      <c r="D1" s="88"/>
    </row>
    <row r="2" spans="1:4" x14ac:dyDescent="0.2">
      <c r="A2" s="6" t="s">
        <v>1</v>
      </c>
      <c r="B2" s="6" t="s">
        <v>117</v>
      </c>
      <c r="C2" s="53" t="s">
        <v>119</v>
      </c>
      <c r="D2" s="33" t="s">
        <v>120</v>
      </c>
    </row>
    <row r="3" spans="1:4" x14ac:dyDescent="0.2">
      <c r="A3" s="54">
        <v>46087</v>
      </c>
      <c r="B3" s="11" t="s">
        <v>118</v>
      </c>
      <c r="C3" s="27">
        <v>2100000</v>
      </c>
      <c r="D3" s="27"/>
    </row>
    <row r="4" spans="1:4" x14ac:dyDescent="0.2">
      <c r="A4" s="54">
        <v>46121</v>
      </c>
      <c r="B4" s="11" t="s">
        <v>121</v>
      </c>
      <c r="C4" s="27"/>
      <c r="D4" s="27">
        <v>2681000</v>
      </c>
    </row>
    <row r="5" spans="1:4" x14ac:dyDescent="0.2">
      <c r="A5" s="54">
        <v>46122</v>
      </c>
      <c r="B5" s="11" t="s">
        <v>122</v>
      </c>
      <c r="C5" s="27">
        <v>3434000</v>
      </c>
      <c r="D5" s="27"/>
    </row>
    <row r="6" spans="1:4" x14ac:dyDescent="0.2">
      <c r="A6" s="11"/>
      <c r="B6" s="11"/>
      <c r="C6" s="27"/>
      <c r="D6" s="27"/>
    </row>
    <row r="7" spans="1:4" x14ac:dyDescent="0.2">
      <c r="A7" s="11"/>
      <c r="B7" s="11"/>
      <c r="C7" s="27"/>
      <c r="D7" s="27"/>
    </row>
    <row r="8" spans="1:4" x14ac:dyDescent="0.2">
      <c r="A8" s="11"/>
      <c r="B8" s="11"/>
      <c r="C8" s="27"/>
      <c r="D8" s="27"/>
    </row>
    <row r="9" spans="1:4" x14ac:dyDescent="0.2">
      <c r="A9" s="11"/>
      <c r="B9" s="11"/>
      <c r="C9" s="27"/>
      <c r="D9" s="27"/>
    </row>
    <row r="10" spans="1:4" x14ac:dyDescent="0.2">
      <c r="A10" s="11"/>
      <c r="B10" s="11"/>
      <c r="C10" s="27"/>
      <c r="D10" s="27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SERVICIOS</vt:lpstr>
      <vt:lpstr>BANCOS</vt:lpstr>
      <vt:lpstr>NOMINA</vt:lpstr>
      <vt:lpstr>Hoja3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cuenca cuellar</dc:creator>
  <cp:lastModifiedBy>juan david cuenca cuellar</cp:lastModifiedBy>
  <dcterms:created xsi:type="dcterms:W3CDTF">2026-01-23T15:12:43Z</dcterms:created>
  <dcterms:modified xsi:type="dcterms:W3CDTF">2026-08-04T16:04:06Z</dcterms:modified>
</cp:coreProperties>
</file>